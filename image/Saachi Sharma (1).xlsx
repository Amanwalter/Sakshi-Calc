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OM\Downloads\"/>
    </mc:Choice>
  </mc:AlternateContent>
  <xr:revisionPtr revIDLastSave="0" documentId="8_{0A07E99F-1283-4829-B8A7-1222EE0074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Sheet1!$A$1:$AB$62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5" i="1" l="1"/>
  <c r="X65" i="1"/>
  <c r="W65" i="1"/>
  <c r="V65" i="1"/>
  <c r="R65" i="1"/>
  <c r="S65" i="1"/>
  <c r="U65" i="1"/>
  <c r="T65" i="1"/>
  <c r="Y63" i="1"/>
  <c r="X63" i="1"/>
  <c r="W63" i="1"/>
  <c r="V63" i="1"/>
  <c r="U63" i="1"/>
  <c r="T63" i="1"/>
  <c r="S63" i="1"/>
  <c r="R63" i="1"/>
  <c r="Y62" i="1"/>
  <c r="X62" i="1"/>
  <c r="W62" i="1"/>
  <c r="V62" i="1"/>
  <c r="U62" i="1"/>
  <c r="T62" i="1"/>
  <c r="S62" i="1"/>
  <c r="R62" i="1"/>
  <c r="Y61" i="1"/>
  <c r="X61" i="1"/>
  <c r="W61" i="1"/>
  <c r="V61" i="1"/>
  <c r="U61" i="1"/>
  <c r="T61" i="1"/>
  <c r="S61" i="1"/>
  <c r="R61" i="1"/>
</calcChain>
</file>

<file path=xl/sharedStrings.xml><?xml version="1.0" encoding="utf-8"?>
<sst xmlns="http://schemas.openxmlformats.org/spreadsheetml/2006/main" count="502" uniqueCount="206">
  <si>
    <t>Month</t>
  </si>
  <si>
    <t>PI Date</t>
  </si>
  <si>
    <t>PO Date</t>
  </si>
  <si>
    <t>BDM Name</t>
  </si>
  <si>
    <t>PI #</t>
  </si>
  <si>
    <t>P.O. #</t>
  </si>
  <si>
    <t>Item Name</t>
  </si>
  <si>
    <t>P/SPM Size</t>
  </si>
  <si>
    <t>Qty Ordered</t>
  </si>
  <si>
    <t>Qty Billed</t>
  </si>
  <si>
    <t>Qty Invoiced</t>
  </si>
  <si>
    <t>SP (Booked)</t>
  </si>
  <si>
    <t>CP (Booked)</t>
  </si>
  <si>
    <t>ER % (Booked)</t>
  </si>
  <si>
    <t>SP (Actual)</t>
  </si>
  <si>
    <t>CP  (Actual)</t>
  </si>
  <si>
    <t>ER % (Actual)</t>
  </si>
  <si>
    <t>Σ ER Projected</t>
  </si>
  <si>
    <t>Σ ER Actual</t>
  </si>
  <si>
    <t>NRV Projected</t>
  </si>
  <si>
    <t>NRV Actual</t>
  </si>
  <si>
    <t>Loss on ER</t>
  </si>
  <si>
    <t>Loss on NRV</t>
  </si>
  <si>
    <t>Leftovers to ER</t>
  </si>
  <si>
    <t>Leftovers to NRV</t>
  </si>
  <si>
    <t>SP Match</t>
  </si>
  <si>
    <t>CP Match</t>
  </si>
  <si>
    <t>Order Value (BOCP)</t>
  </si>
  <si>
    <t>Jul 2025</t>
  </si>
  <si>
    <t>Saachi Sharma</t>
  </si>
  <si>
    <t>PI-26-0439</t>
  </si>
  <si>
    <t>WHPL-PO-3068</t>
  </si>
  <si>
    <t>SYP-ABIZYME +</t>
  </si>
  <si>
    <t>YES</t>
  </si>
  <si>
    <t>N/A</t>
  </si>
  <si>
    <t>200 ml</t>
  </si>
  <si>
    <t>NO</t>
  </si>
  <si>
    <t/>
  </si>
  <si>
    <t>PI-26-0441</t>
  </si>
  <si>
    <t>WHPL-PO-3063</t>
  </si>
  <si>
    <t>LUBRITOR+</t>
  </si>
  <si>
    <t>10's x 1 x 10't</t>
  </si>
  <si>
    <t>LUBRITOR+ sample</t>
  </si>
  <si>
    <t>10's x 1 x 6't</t>
  </si>
  <si>
    <t>PI-26-0448</t>
  </si>
  <si>
    <t>WHPL-PO-3100</t>
  </si>
  <si>
    <t>ACERILIF-RAFT</t>
  </si>
  <si>
    <t>PI-26-0467</t>
  </si>
  <si>
    <t>WHPL-PO-3113</t>
  </si>
  <si>
    <t>TAB-COLLZIDE PLUS`</t>
  </si>
  <si>
    <t>5's x 3 x 10't</t>
  </si>
  <si>
    <t>TAB-WYMAG-D</t>
  </si>
  <si>
    <t>10's x 10't</t>
  </si>
  <si>
    <t>PI-26-0483</t>
  </si>
  <si>
    <t>WHPL-PO-3122</t>
  </si>
  <si>
    <t>TAB VILSHOT-50</t>
  </si>
  <si>
    <t>PI-26-0488</t>
  </si>
  <si>
    <t>WHPL-PO-3117</t>
  </si>
  <si>
    <t>TAB-ENSTEN 200</t>
  </si>
  <si>
    <t>WHPL-PO-3172</t>
  </si>
  <si>
    <t>TAB METSHOT G3</t>
  </si>
  <si>
    <t>TAB METSHOT G4</t>
  </si>
  <si>
    <t>PI-26-0526</t>
  </si>
  <si>
    <t>WHPL-PO-3127</t>
  </si>
  <si>
    <t>INJ-NERVSEIF-FORTE</t>
  </si>
  <si>
    <t>1's x 2 ml</t>
  </si>
  <si>
    <t>PI-26-0534</t>
  </si>
  <si>
    <t>WHPL-PO-3143</t>
  </si>
  <si>
    <t>Silypride</t>
  </si>
  <si>
    <t>sample-Silypride</t>
  </si>
  <si>
    <t>PI-26-0566</t>
  </si>
  <si>
    <t>WHPL-PO-3153</t>
  </si>
  <si>
    <t>TAB-MepHelp</t>
  </si>
  <si>
    <t>WHPL-PO-3179</t>
  </si>
  <si>
    <t>TAB-Novulate LD</t>
  </si>
  <si>
    <t>10's x 1 x 21't</t>
  </si>
  <si>
    <t>PI-26-0584</t>
  </si>
  <si>
    <t>WHPL-PO-3212</t>
  </si>
  <si>
    <t>CAP-PANTODEX DSR</t>
  </si>
  <si>
    <t>WHPL-PO-3211</t>
  </si>
  <si>
    <t>TAB-DEXICAL HD</t>
  </si>
  <si>
    <t>10's x 1 x 15't</t>
  </si>
  <si>
    <t>WHPL-PO-3213</t>
  </si>
  <si>
    <t>DEXI ULTRA GEL</t>
  </si>
  <si>
    <t>30 gm</t>
  </si>
  <si>
    <t>S/G-DEXI D3 60k</t>
  </si>
  <si>
    <t>10's x 1 x 4't</t>
  </si>
  <si>
    <t>PI-26-0619</t>
  </si>
  <si>
    <t>WHPL-PO-3175</t>
  </si>
  <si>
    <t>TAB-IRATOP 10</t>
  </si>
  <si>
    <t>Jun 2025</t>
  </si>
  <si>
    <t>PI-26-0292</t>
  </si>
  <si>
    <t>WHPL-PO-3020</t>
  </si>
  <si>
    <t>INJ-Hormoprime</t>
  </si>
  <si>
    <t>PI-26-0300</t>
  </si>
  <si>
    <t>WHPL-PO-2948</t>
  </si>
  <si>
    <t>TAB-CAPACITA MAX</t>
  </si>
  <si>
    <t>3's x 10't</t>
  </si>
  <si>
    <t>PI-26-0741</t>
  </si>
  <si>
    <t>WHPL-PO-3233</t>
  </si>
  <si>
    <t>GLYMED</t>
  </si>
  <si>
    <t>PI-26-0397</t>
  </si>
  <si>
    <t>WHPL-PO-3003</t>
  </si>
  <si>
    <t>Tab Gliphonite Trio 1.3</t>
  </si>
  <si>
    <t>PI-26-0408</t>
  </si>
  <si>
    <t>WHPL-PO-3025</t>
  </si>
  <si>
    <t>CAP-GASWAY-DSR</t>
  </si>
  <si>
    <t>May 2025</t>
  </si>
  <si>
    <t>PI-26-0134</t>
  </si>
  <si>
    <t>WHPL-PO-2800</t>
  </si>
  <si>
    <t>Sachet-JIV-OK</t>
  </si>
  <si>
    <t>5's x 5 gm</t>
  </si>
  <si>
    <t>Sachet-JIV-OK (Sugar free)</t>
  </si>
  <si>
    <t>PI-26-0162</t>
  </si>
  <si>
    <t>WHPL-PO-2797</t>
  </si>
  <si>
    <t>EVOVOLT TETRA PACK</t>
  </si>
  <si>
    <t>PI-26-0140</t>
  </si>
  <si>
    <t>WHPL-PO-2799</t>
  </si>
  <si>
    <t>S/G NERVE VT 360 plus</t>
  </si>
  <si>
    <t>WHPL-PO-2798</t>
  </si>
  <si>
    <t>CAP NERVE VT 360 FORTE</t>
  </si>
  <si>
    <t>PI-26-0156</t>
  </si>
  <si>
    <t>WHPL-PO-2767</t>
  </si>
  <si>
    <t>tab-Telwish CP</t>
  </si>
  <si>
    <t>PI-26-0158</t>
  </si>
  <si>
    <t>WHPL-PO-2795</t>
  </si>
  <si>
    <t>CURIVIT</t>
  </si>
  <si>
    <t>1's x 10't</t>
  </si>
  <si>
    <t>PI-26-0168</t>
  </si>
  <si>
    <t>WHPL-PO-2781</t>
  </si>
  <si>
    <t>TAB-Rushdapa 10/100</t>
  </si>
  <si>
    <t>PI-26-0185</t>
  </si>
  <si>
    <t>WHPL-PO-2830</t>
  </si>
  <si>
    <t>Tab Balanz</t>
  </si>
  <si>
    <t>WHPL-PO-2831</t>
  </si>
  <si>
    <t>Tab O-PAIN</t>
  </si>
  <si>
    <t>PI-26-0198</t>
  </si>
  <si>
    <t>WHPL-PO-2845</t>
  </si>
  <si>
    <t>CAP-RUDRAB DSR</t>
  </si>
  <si>
    <t>PI-26-0138</t>
  </si>
  <si>
    <t>WHPL-PO-2847</t>
  </si>
  <si>
    <t>CAP-Preloxetin 75/20</t>
  </si>
  <si>
    <t>PI-26-0218</t>
  </si>
  <si>
    <t>WHPL-PO-2876</t>
  </si>
  <si>
    <t>TAB-Qola gen T1T2</t>
  </si>
  <si>
    <t>PI-26-0252</t>
  </si>
  <si>
    <t>WHPL-PO-2907</t>
  </si>
  <si>
    <t>TAB-MEDCLEAR</t>
  </si>
  <si>
    <t>PI-26-0254</t>
  </si>
  <si>
    <t>WHPL-PO-2928</t>
  </si>
  <si>
    <t>CURIMET-M1</t>
  </si>
  <si>
    <t>PI-26-0322</t>
  </si>
  <si>
    <t>WHPL-PO-2949</t>
  </si>
  <si>
    <t>SYP-Capacita plus</t>
  </si>
  <si>
    <t>PI-26-0279</t>
  </si>
  <si>
    <t>WHPL-PO-2967</t>
  </si>
  <si>
    <t>ERDOLUS-300</t>
  </si>
  <si>
    <t>PI-26-0319</t>
  </si>
  <si>
    <t>WHPL-PO-3036</t>
  </si>
  <si>
    <t>TAB OTIPRAM-5</t>
  </si>
  <si>
    <t>TAB-OTIPRAM-10</t>
  </si>
  <si>
    <t>Apr 2025</t>
  </si>
  <si>
    <t>PI-26-0038</t>
  </si>
  <si>
    <t>WHPL-PO-2654</t>
  </si>
  <si>
    <t>TAB-pulmisco</t>
  </si>
  <si>
    <t>PI-26-0037</t>
  </si>
  <si>
    <t>WHPL-PO-2655</t>
  </si>
  <si>
    <t>CAP-Sunprobio</t>
  </si>
  <si>
    <t>TAB-Intwelve D</t>
  </si>
  <si>
    <t>PI-26-0039</t>
  </si>
  <si>
    <t>WHPL-PO-2672</t>
  </si>
  <si>
    <t>TAB-CARNI VOLT</t>
  </si>
  <si>
    <t>PI-26-0042</t>
  </si>
  <si>
    <t>WHPL-PO-2673</t>
  </si>
  <si>
    <t>Tab-Imunerve M</t>
  </si>
  <si>
    <t>PI-26-0040</t>
  </si>
  <si>
    <t>WHPL-PO-2728</t>
  </si>
  <si>
    <t>VRUDHEALTH +</t>
  </si>
  <si>
    <t>PI-25-0019</t>
  </si>
  <si>
    <t>WHPL-PO-2745</t>
  </si>
  <si>
    <t>CAP-ATORLOW CV 10</t>
  </si>
  <si>
    <t>PI-26-0053</t>
  </si>
  <si>
    <t>WHPL-PO-2671</t>
  </si>
  <si>
    <t>SUSP-IRASPAS</t>
  </si>
  <si>
    <t>60 ml</t>
  </si>
  <si>
    <t>PI-26-0026</t>
  </si>
  <si>
    <t>WHPL-PO-2682</t>
  </si>
  <si>
    <t>TAB-RUDPAN-40</t>
  </si>
  <si>
    <t>PI-26-0057</t>
  </si>
  <si>
    <t>WHPL-PO-2731</t>
  </si>
  <si>
    <t>CAP-SANTIDOX</t>
  </si>
  <si>
    <t>PI-26-0058</t>
  </si>
  <si>
    <t>WHPL-PO-2694</t>
  </si>
  <si>
    <t>Tab-Otiozyme Q10</t>
  </si>
  <si>
    <t>PI-26-0052</t>
  </si>
  <si>
    <t>WHPL-PO-2726</t>
  </si>
  <si>
    <t>TAB METSHOT VG2</t>
  </si>
  <si>
    <t>WHPL-PO-2704</t>
  </si>
  <si>
    <t>TAB METSHOT G2</t>
  </si>
  <si>
    <t>PI-26-0062</t>
  </si>
  <si>
    <t>WHPL-PO-2814</t>
  </si>
  <si>
    <t>CREAM-MUPISTON</t>
  </si>
  <si>
    <t>5 gm</t>
  </si>
  <si>
    <t>PI-26-0099</t>
  </si>
  <si>
    <t>WHPL-PO-2937</t>
  </si>
  <si>
    <t>TAB WINFORCE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</si>
</sst>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,\ yy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7944-5DF1-4245-8F71-EFA54D9A840F}">
  <sheetPr filterMode="1"/>
  <dimension ref="A1:AB65"/>
  <sheetViews>
    <sheetView tabSelected="1" workbookViewId="0">
      <selection activeCell="R65" sqref="R65:W65"/>
    </sheetView>
  </sheetViews>
  <sheetFormatPr defaultRowHeight="12.5" x14ac:dyDescent="0.25"/>
  <cols>
    <col min="19" max="19" width="23.179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5">
      <c r="A2" t="s">
        <v>28</v>
      </c>
      <c r="B2" s="1">
        <v>45840</v>
      </c>
      <c r="C2" s="1">
        <v>45850</v>
      </c>
      <c r="D2" t="s">
        <v>29</v>
      </c>
      <c r="E2" t="s">
        <v>30</v>
      </c>
      <c r="F2" t="s">
        <v>31</v>
      </c>
      <c r="G2" t="s">
        <v>32</v>
      </c>
      <c r="H2" t="s">
        <v>35</v>
      </c>
      <c r="I2" s="2">
        <v>1000</v>
      </c>
      <c r="J2" s="2">
        <v>1093</v>
      </c>
      <c r="K2" s="2">
        <v>1093</v>
      </c>
      <c r="L2" s="3">
        <v>19</v>
      </c>
      <c r="M2" s="3">
        <v>12</v>
      </c>
      <c r="N2" s="4">
        <v>0.57999999999999996</v>
      </c>
      <c r="O2" s="3">
        <v>19</v>
      </c>
      <c r="P2" s="3">
        <v>12</v>
      </c>
      <c r="Q2" s="4">
        <v>0.57999999999999996</v>
      </c>
      <c r="R2" s="2">
        <v>7000</v>
      </c>
      <c r="S2" s="2">
        <v>7651</v>
      </c>
      <c r="T2" s="2">
        <v>19000</v>
      </c>
      <c r="U2" s="2">
        <v>20767</v>
      </c>
      <c r="V2" s="2">
        <v>651</v>
      </c>
      <c r="W2" s="2">
        <v>1767</v>
      </c>
      <c r="X2" s="2">
        <v>0</v>
      </c>
      <c r="Y2" s="2">
        <v>0</v>
      </c>
      <c r="Z2" t="s">
        <v>33</v>
      </c>
      <c r="AA2" t="s">
        <v>33</v>
      </c>
      <c r="AB2" s="2">
        <v>12000</v>
      </c>
    </row>
    <row r="3" spans="1:28" hidden="1" x14ac:dyDescent="0.25">
      <c r="A3" t="s">
        <v>28</v>
      </c>
      <c r="B3" s="1">
        <v>45840</v>
      </c>
      <c r="C3" s="1">
        <v>45850</v>
      </c>
      <c r="D3" t="s">
        <v>29</v>
      </c>
      <c r="E3" t="s">
        <v>38</v>
      </c>
      <c r="F3" t="s">
        <v>39</v>
      </c>
      <c r="G3" t="s">
        <v>40</v>
      </c>
      <c r="H3" t="s">
        <v>41</v>
      </c>
      <c r="I3" s="2">
        <v>400</v>
      </c>
      <c r="J3" s="2">
        <v>377</v>
      </c>
      <c r="K3" s="2">
        <v>377</v>
      </c>
      <c r="L3" s="3">
        <v>285</v>
      </c>
      <c r="M3" s="3">
        <v>120</v>
      </c>
      <c r="N3" s="4">
        <v>1.38</v>
      </c>
      <c r="O3" s="3">
        <v>285</v>
      </c>
      <c r="P3" s="3">
        <v>120</v>
      </c>
      <c r="Q3" s="4">
        <v>1.38</v>
      </c>
      <c r="R3" s="2">
        <v>66000</v>
      </c>
      <c r="S3" s="2">
        <v>62205</v>
      </c>
      <c r="T3" s="2">
        <v>114000</v>
      </c>
      <c r="U3" s="2">
        <v>107445</v>
      </c>
      <c r="V3" s="2">
        <v>-3795</v>
      </c>
      <c r="W3" s="2">
        <v>-6555</v>
      </c>
      <c r="X3" s="2">
        <v>0</v>
      </c>
      <c r="Y3" s="2">
        <v>0</v>
      </c>
      <c r="Z3" t="s">
        <v>33</v>
      </c>
      <c r="AA3" t="s">
        <v>33</v>
      </c>
      <c r="AB3" s="2">
        <v>48000</v>
      </c>
    </row>
    <row r="4" spans="1:28" hidden="1" x14ac:dyDescent="0.25">
      <c r="A4" t="s">
        <v>28</v>
      </c>
      <c r="B4" s="1">
        <v>45840</v>
      </c>
      <c r="C4" s="1">
        <v>45850</v>
      </c>
      <c r="D4" t="s">
        <v>29</v>
      </c>
      <c r="E4" t="s">
        <v>38</v>
      </c>
      <c r="F4" t="s">
        <v>39</v>
      </c>
      <c r="G4" t="s">
        <v>42</v>
      </c>
      <c r="H4" t="s">
        <v>43</v>
      </c>
      <c r="I4" s="2">
        <v>200</v>
      </c>
      <c r="J4" s="2">
        <v>195</v>
      </c>
      <c r="K4" s="2">
        <v>195</v>
      </c>
      <c r="L4" s="3">
        <v>172</v>
      </c>
      <c r="M4" s="3">
        <v>72</v>
      </c>
      <c r="N4" s="4">
        <v>1.39</v>
      </c>
      <c r="O4" s="3">
        <v>172</v>
      </c>
      <c r="P4" s="3">
        <v>72</v>
      </c>
      <c r="Q4" s="4">
        <v>1.39</v>
      </c>
      <c r="R4" s="2">
        <v>20000</v>
      </c>
      <c r="S4" s="2">
        <v>19500</v>
      </c>
      <c r="T4" s="2">
        <v>34400</v>
      </c>
      <c r="U4" s="2">
        <v>33540</v>
      </c>
      <c r="V4" s="2">
        <v>-500</v>
      </c>
      <c r="W4" s="2">
        <v>-860</v>
      </c>
      <c r="X4" s="2">
        <v>0</v>
      </c>
      <c r="Y4" s="2">
        <v>0</v>
      </c>
      <c r="Z4" t="s">
        <v>33</v>
      </c>
      <c r="AA4" t="s">
        <v>33</v>
      </c>
      <c r="AB4" s="2">
        <v>14400</v>
      </c>
    </row>
    <row r="5" spans="1:28" hidden="1" x14ac:dyDescent="0.25">
      <c r="A5" t="s">
        <v>28</v>
      </c>
      <c r="B5" s="1">
        <v>45845</v>
      </c>
      <c r="C5" s="1">
        <v>45859</v>
      </c>
      <c r="D5" t="s">
        <v>29</v>
      </c>
      <c r="E5" t="s">
        <v>44</v>
      </c>
      <c r="F5" t="s">
        <v>45</v>
      </c>
      <c r="G5" t="s">
        <v>46</v>
      </c>
      <c r="H5" t="s">
        <v>35</v>
      </c>
      <c r="I5" s="2">
        <v>3000</v>
      </c>
      <c r="J5" s="2">
        <v>2843</v>
      </c>
      <c r="K5" s="2">
        <v>2843</v>
      </c>
      <c r="L5" s="3">
        <v>29</v>
      </c>
      <c r="M5" s="3">
        <v>27.5</v>
      </c>
      <c r="N5" s="4">
        <v>0.05</v>
      </c>
      <c r="O5" s="3">
        <v>29</v>
      </c>
      <c r="P5" s="3">
        <v>27</v>
      </c>
      <c r="Q5" s="4">
        <v>7.0000000000000007E-2</v>
      </c>
      <c r="R5" s="2">
        <v>4500</v>
      </c>
      <c r="S5" s="2">
        <v>5686</v>
      </c>
      <c r="T5" s="2">
        <v>87000</v>
      </c>
      <c r="U5" s="2">
        <v>82447</v>
      </c>
      <c r="V5" s="2">
        <v>1186</v>
      </c>
      <c r="W5" s="2">
        <v>-4553</v>
      </c>
      <c r="X5" s="2">
        <v>0</v>
      </c>
      <c r="Y5" s="2">
        <v>0</v>
      </c>
      <c r="Z5" t="s">
        <v>33</v>
      </c>
      <c r="AA5" t="s">
        <v>36</v>
      </c>
      <c r="AB5" s="2">
        <v>82500</v>
      </c>
    </row>
    <row r="6" spans="1:28" hidden="1" x14ac:dyDescent="0.25">
      <c r="A6" t="s">
        <v>28</v>
      </c>
      <c r="B6" s="1">
        <v>45847</v>
      </c>
      <c r="C6" s="1">
        <v>45866</v>
      </c>
      <c r="D6" t="s">
        <v>29</v>
      </c>
      <c r="E6" t="s">
        <v>47</v>
      </c>
      <c r="F6" t="s">
        <v>48</v>
      </c>
      <c r="G6" t="s">
        <v>49</v>
      </c>
      <c r="H6" t="s">
        <v>50</v>
      </c>
      <c r="I6" s="2">
        <v>300</v>
      </c>
      <c r="J6" s="2">
        <v>305</v>
      </c>
      <c r="K6" s="2">
        <v>305</v>
      </c>
      <c r="L6" s="3">
        <v>315</v>
      </c>
      <c r="M6" s="3">
        <v>143</v>
      </c>
      <c r="N6" s="4">
        <v>1.2</v>
      </c>
      <c r="O6" s="3">
        <v>315</v>
      </c>
      <c r="P6" s="3">
        <v>143</v>
      </c>
      <c r="Q6" s="4">
        <v>1.2</v>
      </c>
      <c r="R6" s="2">
        <v>51600</v>
      </c>
      <c r="S6" s="2">
        <v>52460</v>
      </c>
      <c r="T6" s="2">
        <v>94500</v>
      </c>
      <c r="U6" s="2">
        <v>96075</v>
      </c>
      <c r="V6" s="2">
        <v>860</v>
      </c>
      <c r="W6" s="2">
        <v>1575</v>
      </c>
      <c r="X6" s="2">
        <v>0</v>
      </c>
      <c r="Y6" s="2">
        <v>0</v>
      </c>
      <c r="Z6" t="s">
        <v>33</v>
      </c>
      <c r="AA6" t="s">
        <v>33</v>
      </c>
      <c r="AB6" s="2">
        <v>42900</v>
      </c>
    </row>
    <row r="7" spans="1:28" hidden="1" x14ac:dyDescent="0.25">
      <c r="A7" t="s">
        <v>28</v>
      </c>
      <c r="B7" s="1">
        <v>45847</v>
      </c>
      <c r="C7" s="1">
        <v>45866</v>
      </c>
      <c r="D7" t="s">
        <v>29</v>
      </c>
      <c r="E7" t="s">
        <v>47</v>
      </c>
      <c r="F7" t="s">
        <v>48</v>
      </c>
      <c r="G7" t="s">
        <v>51</v>
      </c>
      <c r="H7" t="s">
        <v>52</v>
      </c>
      <c r="I7" s="2">
        <v>300</v>
      </c>
      <c r="J7" s="2">
        <v>250</v>
      </c>
      <c r="K7" s="2">
        <v>250</v>
      </c>
      <c r="L7" s="3">
        <v>200</v>
      </c>
      <c r="M7" s="3">
        <v>70</v>
      </c>
      <c r="N7" s="4">
        <v>1.86</v>
      </c>
      <c r="O7" s="3">
        <v>200</v>
      </c>
      <c r="P7" s="3">
        <v>70</v>
      </c>
      <c r="Q7" s="4">
        <v>1.86</v>
      </c>
      <c r="R7" s="2">
        <v>39000</v>
      </c>
      <c r="S7" s="2">
        <v>32500</v>
      </c>
      <c r="T7" s="2">
        <v>60000</v>
      </c>
      <c r="U7" s="2">
        <v>50000</v>
      </c>
      <c r="V7" s="2">
        <v>-6500</v>
      </c>
      <c r="W7" s="2">
        <v>-10000</v>
      </c>
      <c r="X7" s="2">
        <v>0</v>
      </c>
      <c r="Y7" s="2">
        <v>0</v>
      </c>
      <c r="Z7" t="s">
        <v>33</v>
      </c>
      <c r="AA7" t="s">
        <v>33</v>
      </c>
      <c r="AB7" s="2">
        <v>21000</v>
      </c>
    </row>
    <row r="8" spans="1:28" hidden="1" x14ac:dyDescent="0.25">
      <c r="A8" t="s">
        <v>28</v>
      </c>
      <c r="B8" s="1">
        <v>45857</v>
      </c>
      <c r="C8" s="1">
        <v>45866</v>
      </c>
      <c r="D8" t="s">
        <v>29</v>
      </c>
      <c r="E8" t="s">
        <v>53</v>
      </c>
      <c r="F8" t="s">
        <v>54</v>
      </c>
      <c r="G8" t="s">
        <v>55</v>
      </c>
      <c r="H8" t="s">
        <v>52</v>
      </c>
      <c r="I8" s="2">
        <v>500</v>
      </c>
      <c r="J8" s="2">
        <v>508</v>
      </c>
      <c r="K8" s="2">
        <v>508</v>
      </c>
      <c r="L8" s="3">
        <v>95</v>
      </c>
      <c r="M8" s="3">
        <v>82</v>
      </c>
      <c r="N8" s="4">
        <v>0.16</v>
      </c>
      <c r="O8" s="3">
        <v>95</v>
      </c>
      <c r="P8" s="3">
        <v>82</v>
      </c>
      <c r="Q8" s="4">
        <v>0.16</v>
      </c>
      <c r="R8" s="2">
        <v>6500</v>
      </c>
      <c r="S8" s="2">
        <v>6604</v>
      </c>
      <c r="T8" s="2">
        <v>47500</v>
      </c>
      <c r="U8" s="2">
        <v>48260</v>
      </c>
      <c r="V8" s="2">
        <v>104</v>
      </c>
      <c r="W8" s="2">
        <v>760</v>
      </c>
      <c r="X8" s="2">
        <v>0</v>
      </c>
      <c r="Y8" s="2">
        <v>0</v>
      </c>
      <c r="Z8" t="s">
        <v>33</v>
      </c>
      <c r="AA8" t="s">
        <v>33</v>
      </c>
      <c r="AB8" s="2">
        <v>41000</v>
      </c>
    </row>
    <row r="9" spans="1:28" hidden="1" x14ac:dyDescent="0.25">
      <c r="A9" t="s">
        <v>28</v>
      </c>
      <c r="B9" s="1">
        <v>45857</v>
      </c>
      <c r="C9" s="1">
        <v>45866</v>
      </c>
      <c r="D9" t="s">
        <v>29</v>
      </c>
      <c r="E9" t="s">
        <v>56</v>
      </c>
      <c r="F9" t="s">
        <v>57</v>
      </c>
      <c r="G9" t="s">
        <v>58</v>
      </c>
      <c r="H9" t="s">
        <v>41</v>
      </c>
      <c r="I9" s="2">
        <v>300</v>
      </c>
      <c r="J9" s="2">
        <v>224</v>
      </c>
      <c r="K9" s="2">
        <v>224</v>
      </c>
      <c r="L9" s="3">
        <v>402</v>
      </c>
      <c r="M9" s="3">
        <v>325</v>
      </c>
      <c r="N9" s="4">
        <v>0.24</v>
      </c>
      <c r="O9" s="3">
        <v>402</v>
      </c>
      <c r="P9" s="3">
        <v>325</v>
      </c>
      <c r="Q9" s="4">
        <v>0.24</v>
      </c>
      <c r="R9" s="2">
        <v>23100</v>
      </c>
      <c r="S9" s="2">
        <v>17248</v>
      </c>
      <c r="T9" s="2">
        <v>120600</v>
      </c>
      <c r="U9" s="2">
        <v>117786</v>
      </c>
      <c r="V9" s="2">
        <v>-539</v>
      </c>
      <c r="W9" s="2">
        <v>-2814</v>
      </c>
      <c r="X9" s="2">
        <v>0</v>
      </c>
      <c r="Y9" s="2">
        <v>0</v>
      </c>
      <c r="Z9" t="s">
        <v>33</v>
      </c>
      <c r="AA9" t="s">
        <v>33</v>
      </c>
      <c r="AB9" s="2">
        <v>97500</v>
      </c>
    </row>
    <row r="10" spans="1:28" hidden="1" x14ac:dyDescent="0.25">
      <c r="A10" t="s">
        <v>28</v>
      </c>
      <c r="B10" s="1">
        <v>45857</v>
      </c>
      <c r="C10" s="1">
        <v>45876</v>
      </c>
      <c r="D10" t="s">
        <v>29</v>
      </c>
      <c r="E10" t="s">
        <v>53</v>
      </c>
      <c r="F10" t="s">
        <v>59</v>
      </c>
      <c r="G10" t="s">
        <v>60</v>
      </c>
      <c r="H10" t="s">
        <v>52</v>
      </c>
      <c r="I10" s="2">
        <v>500</v>
      </c>
      <c r="J10" s="2">
        <v>486</v>
      </c>
      <c r="K10" s="2">
        <v>486</v>
      </c>
      <c r="L10" s="3">
        <v>95</v>
      </c>
      <c r="M10" s="3">
        <v>78</v>
      </c>
      <c r="N10" s="4">
        <v>0.22</v>
      </c>
      <c r="O10" s="3">
        <v>95</v>
      </c>
      <c r="P10" s="3">
        <v>78</v>
      </c>
      <c r="Q10" s="4">
        <v>0.22</v>
      </c>
      <c r="R10" s="2">
        <v>8500</v>
      </c>
      <c r="S10" s="2">
        <v>8262</v>
      </c>
      <c r="T10" s="2">
        <v>47500</v>
      </c>
      <c r="U10" s="2">
        <v>46170</v>
      </c>
      <c r="V10" s="2">
        <v>-238</v>
      </c>
      <c r="W10" s="2">
        <v>-1330</v>
      </c>
      <c r="X10" s="2">
        <v>0</v>
      </c>
      <c r="Y10" s="2">
        <v>0</v>
      </c>
      <c r="Z10" t="s">
        <v>33</v>
      </c>
      <c r="AA10" t="s">
        <v>33</v>
      </c>
      <c r="AB10" s="2">
        <v>39000</v>
      </c>
    </row>
    <row r="11" spans="1:28" hidden="1" x14ac:dyDescent="0.25">
      <c r="A11" t="s">
        <v>28</v>
      </c>
      <c r="B11" s="1">
        <v>45857</v>
      </c>
      <c r="C11" s="1">
        <v>45876</v>
      </c>
      <c r="D11" t="s">
        <v>29</v>
      </c>
      <c r="E11" t="s">
        <v>53</v>
      </c>
      <c r="F11" t="s">
        <v>59</v>
      </c>
      <c r="G11" t="s">
        <v>61</v>
      </c>
      <c r="H11" t="s">
        <v>52</v>
      </c>
      <c r="I11" s="2">
        <v>500</v>
      </c>
      <c r="J11" s="2">
        <v>483</v>
      </c>
      <c r="K11" s="2">
        <v>483</v>
      </c>
      <c r="L11" s="3">
        <v>105</v>
      </c>
      <c r="M11" s="3">
        <v>80</v>
      </c>
      <c r="N11" s="4">
        <v>0.31</v>
      </c>
      <c r="O11" s="3">
        <v>105</v>
      </c>
      <c r="P11" s="3">
        <v>80</v>
      </c>
      <c r="Q11" s="4">
        <v>0.31</v>
      </c>
      <c r="R11" s="2">
        <v>12500</v>
      </c>
      <c r="S11" s="2">
        <v>12075</v>
      </c>
      <c r="T11" s="2">
        <v>52500</v>
      </c>
      <c r="U11" s="2">
        <v>50715</v>
      </c>
      <c r="V11" s="2">
        <v>-425</v>
      </c>
      <c r="W11" s="2">
        <v>-1785</v>
      </c>
      <c r="X11" s="2">
        <v>0</v>
      </c>
      <c r="Y11" s="2">
        <v>0</v>
      </c>
      <c r="Z11" t="s">
        <v>33</v>
      </c>
      <c r="AA11" t="s">
        <v>33</v>
      </c>
      <c r="AB11" s="2">
        <v>40000</v>
      </c>
    </row>
    <row r="12" spans="1:28" hidden="1" x14ac:dyDescent="0.25">
      <c r="A12" t="s">
        <v>28</v>
      </c>
      <c r="B12" s="1">
        <v>45859</v>
      </c>
      <c r="C12" s="1">
        <v>45866</v>
      </c>
      <c r="D12" t="s">
        <v>29</v>
      </c>
      <c r="E12" t="s">
        <v>62</v>
      </c>
      <c r="F12" t="s">
        <v>63</v>
      </c>
      <c r="G12" t="s">
        <v>64</v>
      </c>
      <c r="H12" t="s">
        <v>65</v>
      </c>
      <c r="I12" s="2">
        <v>5000</v>
      </c>
      <c r="J12" s="2">
        <v>4600</v>
      </c>
      <c r="K12" s="2">
        <v>4600</v>
      </c>
      <c r="L12" s="3">
        <v>8.5</v>
      </c>
      <c r="M12" s="3">
        <v>7.5</v>
      </c>
      <c r="N12" s="4">
        <v>0.13</v>
      </c>
      <c r="O12" s="3">
        <v>8.5</v>
      </c>
      <c r="P12" s="3">
        <v>7.5</v>
      </c>
      <c r="Q12" s="4">
        <v>0.13</v>
      </c>
      <c r="R12" s="2">
        <v>5000</v>
      </c>
      <c r="S12" s="2">
        <v>4600</v>
      </c>
      <c r="T12" s="2">
        <v>42500</v>
      </c>
      <c r="U12" s="2">
        <v>39100</v>
      </c>
      <c r="V12" s="2">
        <v>-400</v>
      </c>
      <c r="W12" s="2">
        <v>-3400</v>
      </c>
      <c r="X12" s="2">
        <v>0</v>
      </c>
      <c r="Y12" s="2">
        <v>0</v>
      </c>
      <c r="Z12" t="s">
        <v>33</v>
      </c>
      <c r="AA12" t="s">
        <v>33</v>
      </c>
      <c r="AB12" s="2">
        <v>37500</v>
      </c>
    </row>
    <row r="13" spans="1:28" hidden="1" x14ac:dyDescent="0.25">
      <c r="A13" t="s">
        <v>28</v>
      </c>
      <c r="B13" s="1">
        <v>45859</v>
      </c>
      <c r="C13" s="1">
        <v>45869</v>
      </c>
      <c r="D13" t="s">
        <v>29</v>
      </c>
      <c r="E13" t="s">
        <v>66</v>
      </c>
      <c r="F13" t="s">
        <v>67</v>
      </c>
      <c r="G13" t="s">
        <v>68</v>
      </c>
      <c r="H13" t="s">
        <v>35</v>
      </c>
      <c r="I13" s="2">
        <v>4500</v>
      </c>
      <c r="J13" s="2">
        <v>4372</v>
      </c>
      <c r="K13" s="2">
        <v>4372</v>
      </c>
      <c r="L13" s="3">
        <v>15</v>
      </c>
      <c r="M13" s="3">
        <v>12</v>
      </c>
      <c r="N13" s="4">
        <v>0.25</v>
      </c>
      <c r="O13" s="3">
        <v>15</v>
      </c>
      <c r="P13" s="3">
        <v>12</v>
      </c>
      <c r="Q13" s="4">
        <v>0.25</v>
      </c>
      <c r="R13" s="2">
        <v>13500</v>
      </c>
      <c r="S13" s="2">
        <v>13116</v>
      </c>
      <c r="T13" s="2">
        <v>67500</v>
      </c>
      <c r="U13" s="2">
        <v>65580</v>
      </c>
      <c r="V13" s="2">
        <v>-384</v>
      </c>
      <c r="W13" s="2">
        <v>-1920</v>
      </c>
      <c r="X13" s="2">
        <v>0</v>
      </c>
      <c r="Y13" s="2">
        <v>0</v>
      </c>
      <c r="Z13" t="s">
        <v>33</v>
      </c>
      <c r="AA13" t="s">
        <v>33</v>
      </c>
      <c r="AB13" s="2">
        <v>54000</v>
      </c>
    </row>
    <row r="14" spans="1:28" hidden="1" x14ac:dyDescent="0.25">
      <c r="A14" t="s">
        <v>28</v>
      </c>
      <c r="B14" s="1">
        <v>45859</v>
      </c>
      <c r="C14" s="1">
        <v>45869</v>
      </c>
      <c r="D14" t="s">
        <v>29</v>
      </c>
      <c r="E14" t="s">
        <v>66</v>
      </c>
      <c r="F14" t="s">
        <v>67</v>
      </c>
      <c r="G14" t="s">
        <v>69</v>
      </c>
      <c r="H14" t="s">
        <v>35</v>
      </c>
      <c r="I14" s="2">
        <v>500</v>
      </c>
      <c r="J14" s="2">
        <v>432</v>
      </c>
      <c r="K14" s="2">
        <v>432</v>
      </c>
      <c r="L14" s="3">
        <v>15</v>
      </c>
      <c r="M14" s="3">
        <v>12</v>
      </c>
      <c r="N14" s="4">
        <v>0.25</v>
      </c>
      <c r="O14" s="3">
        <v>15</v>
      </c>
      <c r="P14" s="3">
        <v>12</v>
      </c>
      <c r="Q14" s="4">
        <v>0.25</v>
      </c>
      <c r="R14" s="2">
        <v>1500</v>
      </c>
      <c r="S14" s="2">
        <v>1296</v>
      </c>
      <c r="T14" s="2">
        <v>7500</v>
      </c>
      <c r="U14" s="2">
        <v>6480</v>
      </c>
      <c r="V14" s="2">
        <v>-204</v>
      </c>
      <c r="W14" s="2">
        <v>-1020</v>
      </c>
      <c r="X14" s="2">
        <v>0</v>
      </c>
      <c r="Y14" s="2">
        <v>0</v>
      </c>
      <c r="Z14" t="s">
        <v>33</v>
      </c>
      <c r="AA14" t="s">
        <v>33</v>
      </c>
      <c r="AB14" s="2">
        <v>6000</v>
      </c>
    </row>
    <row r="15" spans="1:28" hidden="1" x14ac:dyDescent="0.25">
      <c r="A15" t="s">
        <v>28</v>
      </c>
      <c r="B15" s="1">
        <v>45866</v>
      </c>
      <c r="C15" s="1">
        <v>45873</v>
      </c>
      <c r="D15" t="s">
        <v>29</v>
      </c>
      <c r="E15" t="s">
        <v>70</v>
      </c>
      <c r="F15" t="s">
        <v>71</v>
      </c>
      <c r="G15" t="s">
        <v>72</v>
      </c>
      <c r="H15" t="s">
        <v>52</v>
      </c>
      <c r="I15" s="2">
        <v>300</v>
      </c>
      <c r="J15" s="2">
        <v>301</v>
      </c>
      <c r="K15" s="2">
        <v>301</v>
      </c>
      <c r="L15" s="3">
        <v>100</v>
      </c>
      <c r="M15" s="3">
        <v>75</v>
      </c>
      <c r="N15" s="4">
        <v>0.33</v>
      </c>
      <c r="O15" s="3">
        <v>100</v>
      </c>
      <c r="P15" s="3">
        <v>75</v>
      </c>
      <c r="Q15" s="4">
        <v>0.33</v>
      </c>
      <c r="R15" s="2">
        <v>7500</v>
      </c>
      <c r="S15" s="2">
        <v>7525</v>
      </c>
      <c r="T15" s="2">
        <v>30000</v>
      </c>
      <c r="U15" s="2">
        <v>30100</v>
      </c>
      <c r="V15" s="2">
        <v>25</v>
      </c>
      <c r="W15" s="2">
        <v>100</v>
      </c>
      <c r="X15" s="2">
        <v>0</v>
      </c>
      <c r="Y15" s="2">
        <v>0</v>
      </c>
      <c r="Z15" t="s">
        <v>33</v>
      </c>
      <c r="AA15" t="s">
        <v>33</v>
      </c>
      <c r="AB15" s="2">
        <v>22500</v>
      </c>
    </row>
    <row r="16" spans="1:28" hidden="1" x14ac:dyDescent="0.25">
      <c r="A16" t="s">
        <v>28</v>
      </c>
      <c r="B16" s="1">
        <v>45866</v>
      </c>
      <c r="C16" s="1">
        <v>45876</v>
      </c>
      <c r="D16" t="s">
        <v>29</v>
      </c>
      <c r="E16" t="s">
        <v>70</v>
      </c>
      <c r="F16" t="s">
        <v>73</v>
      </c>
      <c r="G16" t="s">
        <v>74</v>
      </c>
      <c r="H16" t="s">
        <v>75</v>
      </c>
      <c r="I16" s="2">
        <v>300</v>
      </c>
      <c r="J16" s="2">
        <v>256</v>
      </c>
      <c r="K16" s="2">
        <v>306</v>
      </c>
      <c r="L16" s="3">
        <v>240</v>
      </c>
      <c r="M16" s="3">
        <v>220</v>
      </c>
      <c r="N16" s="4">
        <v>0.09</v>
      </c>
      <c r="O16" s="3">
        <v>240</v>
      </c>
      <c r="P16" s="3">
        <v>220</v>
      </c>
      <c r="Q16" s="4">
        <v>0.09</v>
      </c>
      <c r="R16" s="2">
        <v>6000</v>
      </c>
      <c r="S16" s="2">
        <v>6120</v>
      </c>
      <c r="T16" s="2">
        <v>72000</v>
      </c>
      <c r="U16" s="2">
        <v>73440</v>
      </c>
      <c r="V16" s="2">
        <v>120</v>
      </c>
      <c r="W16" s="2">
        <v>1440</v>
      </c>
      <c r="X16" s="2">
        <v>0</v>
      </c>
      <c r="Y16" s="2">
        <v>0</v>
      </c>
      <c r="Z16" t="s">
        <v>33</v>
      </c>
      <c r="AA16" t="s">
        <v>33</v>
      </c>
      <c r="AB16" s="2">
        <v>66000</v>
      </c>
    </row>
    <row r="17" spans="1:28" hidden="1" x14ac:dyDescent="0.25">
      <c r="A17" t="s">
        <v>28</v>
      </c>
      <c r="B17" s="1">
        <v>45868</v>
      </c>
      <c r="C17" s="1">
        <v>45883</v>
      </c>
      <c r="D17" t="s">
        <v>29</v>
      </c>
      <c r="E17" t="s">
        <v>76</v>
      </c>
      <c r="F17" t="s">
        <v>77</v>
      </c>
      <c r="G17" t="s">
        <v>78</v>
      </c>
      <c r="H17" t="s">
        <v>52</v>
      </c>
      <c r="I17" s="2">
        <v>300</v>
      </c>
      <c r="J17" s="2">
        <v>293</v>
      </c>
      <c r="K17" s="2">
        <v>293</v>
      </c>
      <c r="L17" s="3">
        <v>85</v>
      </c>
      <c r="M17" s="3">
        <v>78</v>
      </c>
      <c r="N17" s="4">
        <v>0.09</v>
      </c>
      <c r="O17" s="3">
        <v>85</v>
      </c>
      <c r="P17" s="3">
        <v>78</v>
      </c>
      <c r="Q17" s="4">
        <v>0.09</v>
      </c>
      <c r="R17" s="2">
        <v>2100</v>
      </c>
      <c r="S17" s="2">
        <v>2051</v>
      </c>
      <c r="T17" s="2">
        <v>25500</v>
      </c>
      <c r="U17" s="2">
        <v>24905</v>
      </c>
      <c r="V17" s="2">
        <v>-49</v>
      </c>
      <c r="W17" s="2">
        <v>-595</v>
      </c>
      <c r="X17" s="2">
        <v>0</v>
      </c>
      <c r="Y17" s="2">
        <v>0</v>
      </c>
      <c r="Z17" t="s">
        <v>33</v>
      </c>
      <c r="AA17" t="s">
        <v>33</v>
      </c>
      <c r="AB17" s="2">
        <v>23400</v>
      </c>
    </row>
    <row r="18" spans="1:28" hidden="1" x14ac:dyDescent="0.25">
      <c r="A18" t="s">
        <v>28</v>
      </c>
      <c r="B18" s="1">
        <v>45868</v>
      </c>
      <c r="C18" s="1">
        <v>45885</v>
      </c>
      <c r="D18" t="s">
        <v>29</v>
      </c>
      <c r="E18" t="s">
        <v>76</v>
      </c>
      <c r="F18" t="s">
        <v>79</v>
      </c>
      <c r="G18" t="s">
        <v>80</v>
      </c>
      <c r="H18" t="s">
        <v>81</v>
      </c>
      <c r="I18" s="2">
        <v>300</v>
      </c>
      <c r="J18" s="2">
        <v>268</v>
      </c>
      <c r="K18" s="2">
        <v>268</v>
      </c>
      <c r="L18" s="3">
        <v>110</v>
      </c>
      <c r="M18" s="3">
        <v>85</v>
      </c>
      <c r="N18" s="4">
        <v>0.28999999999999998</v>
      </c>
      <c r="O18" s="3">
        <v>110</v>
      </c>
      <c r="P18" s="3">
        <v>85</v>
      </c>
      <c r="Q18" s="4">
        <v>0.28999999999999998</v>
      </c>
      <c r="R18" s="2">
        <v>7500</v>
      </c>
      <c r="S18" s="2">
        <v>6700</v>
      </c>
      <c r="T18" s="2">
        <v>33000</v>
      </c>
      <c r="U18" s="2">
        <v>29480</v>
      </c>
      <c r="V18" s="2">
        <v>-800</v>
      </c>
      <c r="W18" s="2">
        <v>-3520</v>
      </c>
      <c r="X18" s="2">
        <v>0</v>
      </c>
      <c r="Y18" s="2">
        <v>0</v>
      </c>
      <c r="Z18" t="s">
        <v>33</v>
      </c>
      <c r="AA18" t="s">
        <v>33</v>
      </c>
      <c r="AB18" s="2">
        <v>25500</v>
      </c>
    </row>
    <row r="19" spans="1:28" hidden="1" x14ac:dyDescent="0.25">
      <c r="A19" t="s">
        <v>28</v>
      </c>
      <c r="B19" s="1">
        <v>45868</v>
      </c>
      <c r="C19" s="1">
        <v>45885</v>
      </c>
      <c r="D19" t="s">
        <v>29</v>
      </c>
      <c r="E19" t="s">
        <v>76</v>
      </c>
      <c r="F19" t="s">
        <v>82</v>
      </c>
      <c r="G19" t="s">
        <v>83</v>
      </c>
      <c r="H19" t="s">
        <v>84</v>
      </c>
      <c r="I19" s="2">
        <v>3000</v>
      </c>
      <c r="J19" s="2">
        <v>2848</v>
      </c>
      <c r="K19" s="2">
        <v>2848</v>
      </c>
      <c r="L19" s="3">
        <v>14</v>
      </c>
      <c r="M19" s="3">
        <v>11.3</v>
      </c>
      <c r="N19" s="4">
        <v>0.24</v>
      </c>
      <c r="O19" s="3">
        <v>14</v>
      </c>
      <c r="P19" s="3">
        <v>11.3</v>
      </c>
      <c r="Q19" s="4">
        <v>0.24</v>
      </c>
      <c r="R19" s="2">
        <v>8100.0000000000009</v>
      </c>
      <c r="S19" s="2">
        <v>7689.6</v>
      </c>
      <c r="T19" s="2">
        <v>42000</v>
      </c>
      <c r="U19" s="2">
        <v>39872</v>
      </c>
      <c r="V19" s="2">
        <v>-410.40000000000055</v>
      </c>
      <c r="W19" s="2">
        <v>-2128</v>
      </c>
      <c r="X19" s="2">
        <v>0</v>
      </c>
      <c r="Y19" s="2">
        <v>0</v>
      </c>
      <c r="Z19" t="s">
        <v>33</v>
      </c>
      <c r="AA19" t="s">
        <v>33</v>
      </c>
      <c r="AB19" s="2">
        <v>33900</v>
      </c>
    </row>
    <row r="20" spans="1:28" hidden="1" x14ac:dyDescent="0.25">
      <c r="A20" t="s">
        <v>28</v>
      </c>
      <c r="B20" s="1">
        <v>45868</v>
      </c>
      <c r="C20" s="1">
        <v>45885</v>
      </c>
      <c r="D20" t="s">
        <v>29</v>
      </c>
      <c r="E20" t="s">
        <v>76</v>
      </c>
      <c r="F20" t="s">
        <v>82</v>
      </c>
      <c r="G20" t="s">
        <v>85</v>
      </c>
      <c r="H20" t="s">
        <v>86</v>
      </c>
      <c r="I20" s="2">
        <v>300</v>
      </c>
      <c r="J20" s="2">
        <v>296</v>
      </c>
      <c r="K20" s="2">
        <v>296</v>
      </c>
      <c r="L20" s="3">
        <v>80</v>
      </c>
      <c r="M20" s="3">
        <v>70</v>
      </c>
      <c r="N20" s="4">
        <v>0.14000000000000001</v>
      </c>
      <c r="O20" s="3">
        <v>80</v>
      </c>
      <c r="P20" s="3">
        <v>70</v>
      </c>
      <c r="Q20" s="4">
        <v>0.14000000000000001</v>
      </c>
      <c r="R20" s="2">
        <v>3000</v>
      </c>
      <c r="S20" s="2">
        <v>2960</v>
      </c>
      <c r="T20" s="2">
        <v>24000</v>
      </c>
      <c r="U20" s="2">
        <v>23680</v>
      </c>
      <c r="V20" s="2">
        <v>-40</v>
      </c>
      <c r="W20" s="2">
        <v>-320</v>
      </c>
      <c r="X20" s="2">
        <v>0</v>
      </c>
      <c r="Y20" s="2">
        <v>0</v>
      </c>
      <c r="Z20" t="s">
        <v>33</v>
      </c>
      <c r="AA20" t="s">
        <v>33</v>
      </c>
      <c r="AB20" s="2">
        <v>21000</v>
      </c>
    </row>
    <row r="21" spans="1:28" hidden="1" x14ac:dyDescent="0.25">
      <c r="A21" t="s">
        <v>28</v>
      </c>
      <c r="B21" s="1">
        <v>45869</v>
      </c>
      <c r="C21" s="1">
        <v>45876</v>
      </c>
      <c r="D21" t="s">
        <v>29</v>
      </c>
      <c r="E21" t="s">
        <v>87</v>
      </c>
      <c r="F21" t="s">
        <v>88</v>
      </c>
      <c r="G21" t="s">
        <v>89</v>
      </c>
      <c r="H21" t="s">
        <v>41</v>
      </c>
      <c r="I21" s="2">
        <v>100</v>
      </c>
      <c r="J21" s="2">
        <v>98</v>
      </c>
      <c r="K21" s="2">
        <v>98</v>
      </c>
      <c r="L21" s="3">
        <v>825</v>
      </c>
      <c r="M21" s="3">
        <v>590</v>
      </c>
      <c r="N21" s="4">
        <v>0.4</v>
      </c>
      <c r="O21" s="3">
        <v>825</v>
      </c>
      <c r="P21" s="3">
        <v>590</v>
      </c>
      <c r="Q21" s="4">
        <v>0.4</v>
      </c>
      <c r="R21" s="2">
        <v>23500</v>
      </c>
      <c r="S21" s="2">
        <v>23030</v>
      </c>
      <c r="T21" s="2">
        <v>82500</v>
      </c>
      <c r="U21" s="2">
        <v>80850</v>
      </c>
      <c r="V21" s="2">
        <v>-470</v>
      </c>
      <c r="W21" s="2">
        <v>-1650</v>
      </c>
      <c r="X21" s="2">
        <v>0</v>
      </c>
      <c r="Y21" s="2">
        <v>0</v>
      </c>
      <c r="Z21" t="s">
        <v>33</v>
      </c>
      <c r="AA21" t="s">
        <v>33</v>
      </c>
      <c r="AB21" s="2">
        <v>59000</v>
      </c>
    </row>
    <row r="22" spans="1:28" hidden="1" x14ac:dyDescent="0.25">
      <c r="A22" t="s">
        <v>90</v>
      </c>
      <c r="B22" s="1">
        <v>45814</v>
      </c>
      <c r="C22" s="1">
        <v>45847</v>
      </c>
      <c r="D22" t="s">
        <v>29</v>
      </c>
      <c r="E22" t="s">
        <v>91</v>
      </c>
      <c r="F22" t="s">
        <v>92</v>
      </c>
      <c r="G22" t="s">
        <v>93</v>
      </c>
      <c r="H22" t="s">
        <v>34</v>
      </c>
      <c r="I22" s="2">
        <v>12000</v>
      </c>
      <c r="J22" s="2">
        <v>13680</v>
      </c>
      <c r="K22" s="2">
        <v>13680</v>
      </c>
      <c r="L22" s="3">
        <v>131.5</v>
      </c>
      <c r="M22" s="3">
        <v>112</v>
      </c>
      <c r="N22" s="4">
        <v>0.17</v>
      </c>
      <c r="O22" s="3">
        <v>131.5</v>
      </c>
      <c r="P22" s="3">
        <v>112</v>
      </c>
      <c r="Q22" s="4">
        <v>0.17</v>
      </c>
      <c r="R22" s="2">
        <v>234000</v>
      </c>
      <c r="S22" s="2">
        <v>266760</v>
      </c>
      <c r="T22" s="2">
        <v>1578000</v>
      </c>
      <c r="U22" s="2">
        <v>1798920</v>
      </c>
      <c r="V22" s="2">
        <v>32760</v>
      </c>
      <c r="W22" s="2">
        <v>220920</v>
      </c>
      <c r="X22" s="2">
        <v>0</v>
      </c>
      <c r="Y22" s="2">
        <v>0</v>
      </c>
      <c r="Z22" t="s">
        <v>33</v>
      </c>
      <c r="AA22" t="s">
        <v>33</v>
      </c>
      <c r="AB22" s="2">
        <v>1344000</v>
      </c>
    </row>
    <row r="23" spans="1:28" hidden="1" x14ac:dyDescent="0.25">
      <c r="A23" t="s">
        <v>90</v>
      </c>
      <c r="B23" s="1">
        <v>45817</v>
      </c>
      <c r="C23" s="1">
        <v>45824</v>
      </c>
      <c r="D23" t="s">
        <v>29</v>
      </c>
      <c r="E23" t="s">
        <v>94</v>
      </c>
      <c r="F23" t="s">
        <v>95</v>
      </c>
      <c r="G23" t="s">
        <v>96</v>
      </c>
      <c r="H23" t="s">
        <v>97</v>
      </c>
      <c r="I23" s="2">
        <v>3000</v>
      </c>
      <c r="J23" s="2">
        <v>3096</v>
      </c>
      <c r="K23" s="2">
        <v>3096</v>
      </c>
      <c r="L23" s="3">
        <v>55</v>
      </c>
      <c r="M23" s="3">
        <v>22</v>
      </c>
      <c r="N23" s="4">
        <v>1.5</v>
      </c>
      <c r="O23" s="3">
        <v>55</v>
      </c>
      <c r="P23" s="3">
        <v>22</v>
      </c>
      <c r="Q23" s="4">
        <v>1.5</v>
      </c>
      <c r="R23" s="2">
        <v>99000</v>
      </c>
      <c r="S23" s="2">
        <v>102168</v>
      </c>
      <c r="T23" s="2">
        <v>165000</v>
      </c>
      <c r="U23" s="2">
        <v>170280</v>
      </c>
      <c r="V23" s="2">
        <v>3168</v>
      </c>
      <c r="W23" s="2">
        <v>5280</v>
      </c>
      <c r="X23" s="2">
        <v>0</v>
      </c>
      <c r="Y23" s="2">
        <v>0</v>
      </c>
      <c r="Z23" t="s">
        <v>33</v>
      </c>
      <c r="AA23" t="s">
        <v>33</v>
      </c>
      <c r="AB23" s="2">
        <v>66000</v>
      </c>
    </row>
    <row r="24" spans="1:28" hidden="1" x14ac:dyDescent="0.25">
      <c r="A24" t="s">
        <v>90</v>
      </c>
      <c r="B24" s="1">
        <v>45825</v>
      </c>
      <c r="C24" s="1">
        <v>45827</v>
      </c>
      <c r="D24" t="s">
        <v>29</v>
      </c>
      <c r="E24" t="s">
        <v>98</v>
      </c>
      <c r="F24" t="s">
        <v>99</v>
      </c>
      <c r="G24" t="s">
        <v>100</v>
      </c>
      <c r="H24" t="s">
        <v>52</v>
      </c>
      <c r="I24" s="2">
        <v>2000</v>
      </c>
      <c r="J24" s="2">
        <v>1970</v>
      </c>
      <c r="K24" s="2">
        <v>1970</v>
      </c>
      <c r="L24" s="3">
        <v>290</v>
      </c>
      <c r="M24" s="3">
        <v>210</v>
      </c>
      <c r="N24" s="4">
        <v>0.38</v>
      </c>
      <c r="O24" s="3">
        <v>290</v>
      </c>
      <c r="P24" s="3">
        <v>210</v>
      </c>
      <c r="Q24" s="4">
        <v>0.38</v>
      </c>
      <c r="R24" s="2">
        <v>160000</v>
      </c>
      <c r="S24" s="2">
        <v>157600</v>
      </c>
      <c r="T24" s="2">
        <v>580000</v>
      </c>
      <c r="U24" s="2">
        <v>571300</v>
      </c>
      <c r="V24" s="2">
        <v>-2400</v>
      </c>
      <c r="W24" s="2">
        <v>-8700</v>
      </c>
      <c r="X24" s="2">
        <v>0</v>
      </c>
      <c r="Y24" s="2">
        <v>0</v>
      </c>
      <c r="Z24" t="s">
        <v>33</v>
      </c>
      <c r="AA24" t="s">
        <v>33</v>
      </c>
      <c r="AB24" s="2">
        <v>420000</v>
      </c>
    </row>
    <row r="25" spans="1:28" hidden="1" x14ac:dyDescent="0.25">
      <c r="A25" t="s">
        <v>90</v>
      </c>
      <c r="B25" s="1">
        <v>45831</v>
      </c>
      <c r="C25" s="1">
        <v>45834</v>
      </c>
      <c r="D25" t="s">
        <v>29</v>
      </c>
      <c r="E25" t="s">
        <v>101</v>
      </c>
      <c r="F25" t="s">
        <v>102</v>
      </c>
      <c r="G25" t="s">
        <v>103</v>
      </c>
      <c r="H25" t="s">
        <v>52</v>
      </c>
      <c r="I25" s="2">
        <v>1000</v>
      </c>
      <c r="J25" s="2">
        <v>885</v>
      </c>
      <c r="K25" s="2">
        <v>886</v>
      </c>
      <c r="L25" s="3">
        <v>150</v>
      </c>
      <c r="M25" s="3">
        <v>85</v>
      </c>
      <c r="N25" s="4">
        <v>0.76</v>
      </c>
      <c r="O25" s="3">
        <v>150</v>
      </c>
      <c r="P25" s="3">
        <v>85</v>
      </c>
      <c r="Q25" s="4">
        <v>0.76</v>
      </c>
      <c r="R25" s="2">
        <v>65000</v>
      </c>
      <c r="S25" s="2">
        <v>57590</v>
      </c>
      <c r="T25" s="2">
        <v>150000</v>
      </c>
      <c r="U25" s="2">
        <v>132900</v>
      </c>
      <c r="V25" s="2">
        <v>-7410</v>
      </c>
      <c r="W25" s="2">
        <v>-17100</v>
      </c>
      <c r="X25" s="2">
        <v>0</v>
      </c>
      <c r="Y25" s="2">
        <v>0</v>
      </c>
      <c r="Z25" t="s">
        <v>33</v>
      </c>
      <c r="AA25" t="s">
        <v>33</v>
      </c>
      <c r="AB25" s="2">
        <v>85000</v>
      </c>
    </row>
    <row r="26" spans="1:28" hidden="1" x14ac:dyDescent="0.25">
      <c r="A26" t="s">
        <v>90</v>
      </c>
      <c r="B26" s="1">
        <v>45835</v>
      </c>
      <c r="C26" s="1">
        <v>45850</v>
      </c>
      <c r="D26" t="s">
        <v>29</v>
      </c>
      <c r="E26" t="s">
        <v>104</v>
      </c>
      <c r="F26" t="s">
        <v>105</v>
      </c>
      <c r="G26" t="s">
        <v>106</v>
      </c>
      <c r="H26" t="s">
        <v>52</v>
      </c>
      <c r="I26" s="2">
        <v>1000</v>
      </c>
      <c r="J26" s="2">
        <v>992</v>
      </c>
      <c r="K26" s="2">
        <v>992</v>
      </c>
      <c r="L26" s="3">
        <v>75</v>
      </c>
      <c r="M26" s="3">
        <v>72</v>
      </c>
      <c r="N26" s="4">
        <v>0.04</v>
      </c>
      <c r="O26" s="3">
        <v>75</v>
      </c>
      <c r="P26" s="3">
        <v>72</v>
      </c>
      <c r="Q26" s="4">
        <v>0.04</v>
      </c>
      <c r="R26" s="2">
        <v>3000</v>
      </c>
      <c r="S26" s="2">
        <v>2976</v>
      </c>
      <c r="T26" s="2">
        <v>75000</v>
      </c>
      <c r="U26" s="2">
        <v>74400</v>
      </c>
      <c r="V26" s="2">
        <v>-24</v>
      </c>
      <c r="W26" s="2">
        <v>-600</v>
      </c>
      <c r="X26" s="2">
        <v>0</v>
      </c>
      <c r="Y26" s="2">
        <v>0</v>
      </c>
      <c r="Z26" t="s">
        <v>33</v>
      </c>
      <c r="AA26" t="s">
        <v>33</v>
      </c>
      <c r="AB26" s="2">
        <v>72000</v>
      </c>
    </row>
    <row r="27" spans="1:28" hidden="1" x14ac:dyDescent="0.25">
      <c r="A27" t="s">
        <v>107</v>
      </c>
      <c r="B27" s="1">
        <v>45778</v>
      </c>
      <c r="C27" s="1">
        <v>45787</v>
      </c>
      <c r="D27" t="s">
        <v>29</v>
      </c>
      <c r="E27" t="s">
        <v>108</v>
      </c>
      <c r="F27" t="s">
        <v>109</v>
      </c>
      <c r="G27" t="s">
        <v>110</v>
      </c>
      <c r="H27" t="s">
        <v>111</v>
      </c>
      <c r="I27" s="2">
        <v>5000</v>
      </c>
      <c r="J27" s="2">
        <v>5165</v>
      </c>
      <c r="K27" s="2">
        <v>5165</v>
      </c>
      <c r="L27" s="3">
        <v>5.5</v>
      </c>
      <c r="M27" s="3">
        <v>4.3499999999999996</v>
      </c>
      <c r="N27" s="4">
        <v>0.26</v>
      </c>
      <c r="O27" s="3">
        <v>5.5</v>
      </c>
      <c r="P27" s="3">
        <v>4.3499999999999996</v>
      </c>
      <c r="Q27" s="4">
        <v>0.26</v>
      </c>
      <c r="R27" s="2">
        <v>5750</v>
      </c>
      <c r="S27" s="2">
        <v>5939.7499999999991</v>
      </c>
      <c r="T27" s="2">
        <v>27500</v>
      </c>
      <c r="U27" s="2">
        <v>28407.5</v>
      </c>
      <c r="V27" s="2">
        <v>189.74999999999909</v>
      </c>
      <c r="W27" s="2">
        <v>907.5</v>
      </c>
      <c r="X27" s="2">
        <v>0</v>
      </c>
      <c r="Y27" s="2">
        <v>0</v>
      </c>
      <c r="Z27" t="s">
        <v>33</v>
      </c>
      <c r="AA27" t="s">
        <v>33</v>
      </c>
      <c r="AB27" s="2">
        <v>21750</v>
      </c>
    </row>
    <row r="28" spans="1:28" hidden="1" x14ac:dyDescent="0.25">
      <c r="A28" t="s">
        <v>107</v>
      </c>
      <c r="B28" s="1">
        <v>45778</v>
      </c>
      <c r="C28" s="1">
        <v>45787</v>
      </c>
      <c r="D28" t="s">
        <v>29</v>
      </c>
      <c r="E28" t="s">
        <v>108</v>
      </c>
      <c r="F28" t="s">
        <v>109</v>
      </c>
      <c r="G28" t="s">
        <v>112</v>
      </c>
      <c r="H28" t="s">
        <v>111</v>
      </c>
      <c r="I28" s="2">
        <v>5000</v>
      </c>
      <c r="J28" s="2">
        <v>5225</v>
      </c>
      <c r="K28" s="2">
        <v>5225</v>
      </c>
      <c r="L28" s="3">
        <v>5.5</v>
      </c>
      <c r="M28" s="3">
        <v>4.3499999999999996</v>
      </c>
      <c r="N28" s="4">
        <v>0.26</v>
      </c>
      <c r="O28" s="3">
        <v>5.5</v>
      </c>
      <c r="P28" s="3">
        <v>4.3499999999999996</v>
      </c>
      <c r="Q28" s="4">
        <v>0.26</v>
      </c>
      <c r="R28" s="2">
        <v>5750</v>
      </c>
      <c r="S28" s="2">
        <v>6008.7499999999991</v>
      </c>
      <c r="T28" s="2">
        <v>27500</v>
      </c>
      <c r="U28" s="2">
        <v>28737.5</v>
      </c>
      <c r="V28" s="2">
        <v>258.74999999999909</v>
      </c>
      <c r="W28" s="2">
        <v>1237.5</v>
      </c>
      <c r="X28" s="2">
        <v>0</v>
      </c>
      <c r="Y28" s="2">
        <v>0</v>
      </c>
      <c r="Z28" t="s">
        <v>33</v>
      </c>
      <c r="AA28" t="s">
        <v>33</v>
      </c>
      <c r="AB28" s="2">
        <v>21750</v>
      </c>
    </row>
    <row r="29" spans="1:28" hidden="1" x14ac:dyDescent="0.25">
      <c r="A29" t="s">
        <v>107</v>
      </c>
      <c r="B29" s="1">
        <v>45783</v>
      </c>
      <c r="C29" s="1">
        <v>45785</v>
      </c>
      <c r="D29" t="s">
        <v>29</v>
      </c>
      <c r="E29" t="s">
        <v>113</v>
      </c>
      <c r="F29" t="s">
        <v>114</v>
      </c>
      <c r="G29" t="s">
        <v>115</v>
      </c>
      <c r="H29" t="s">
        <v>35</v>
      </c>
      <c r="I29" s="2">
        <v>1500</v>
      </c>
      <c r="J29" s="2">
        <v>1500</v>
      </c>
      <c r="K29" s="2">
        <v>1500</v>
      </c>
      <c r="L29" s="3">
        <v>11</v>
      </c>
      <c r="M29" s="3">
        <v>10</v>
      </c>
      <c r="N29" s="4">
        <v>0.1</v>
      </c>
      <c r="O29" s="3">
        <v>11</v>
      </c>
      <c r="P29" s="3">
        <v>10</v>
      </c>
      <c r="Q29" s="4">
        <v>0.1</v>
      </c>
      <c r="R29" s="2">
        <v>1500</v>
      </c>
      <c r="S29" s="2">
        <v>1500</v>
      </c>
      <c r="T29" s="2">
        <v>16500</v>
      </c>
      <c r="U29" s="2">
        <v>16500</v>
      </c>
      <c r="V29" s="2">
        <v>0</v>
      </c>
      <c r="W29" s="2">
        <v>0</v>
      </c>
      <c r="X29" s="2">
        <v>0</v>
      </c>
      <c r="Y29" s="2">
        <v>0</v>
      </c>
      <c r="Z29" t="s">
        <v>33</v>
      </c>
      <c r="AA29" t="s">
        <v>33</v>
      </c>
      <c r="AB29" s="2">
        <v>15000</v>
      </c>
    </row>
    <row r="30" spans="1:28" hidden="1" x14ac:dyDescent="0.25">
      <c r="A30" t="s">
        <v>107</v>
      </c>
      <c r="B30" s="1">
        <v>45783</v>
      </c>
      <c r="C30" s="1">
        <v>45786</v>
      </c>
      <c r="D30" t="s">
        <v>29</v>
      </c>
      <c r="E30" t="s">
        <v>116</v>
      </c>
      <c r="F30" t="s">
        <v>117</v>
      </c>
      <c r="G30" t="s">
        <v>118</v>
      </c>
      <c r="H30" t="s">
        <v>52</v>
      </c>
      <c r="I30" s="2">
        <v>400</v>
      </c>
      <c r="J30" s="2">
        <v>388</v>
      </c>
      <c r="K30" s="2">
        <v>388</v>
      </c>
      <c r="L30" s="3">
        <v>408</v>
      </c>
      <c r="M30" s="3">
        <v>325</v>
      </c>
      <c r="N30" s="4">
        <v>0.26</v>
      </c>
      <c r="O30" s="3">
        <v>408</v>
      </c>
      <c r="P30" s="3">
        <v>325</v>
      </c>
      <c r="Q30" s="4">
        <v>0.26</v>
      </c>
      <c r="R30" s="2">
        <v>33200</v>
      </c>
      <c r="S30" s="2">
        <v>32204</v>
      </c>
      <c r="T30" s="2">
        <v>163200</v>
      </c>
      <c r="U30" s="2">
        <v>158304</v>
      </c>
      <c r="V30" s="2">
        <v>-996</v>
      </c>
      <c r="W30" s="2">
        <v>-4896</v>
      </c>
      <c r="X30" s="2">
        <v>0</v>
      </c>
      <c r="Y30" s="2">
        <v>0</v>
      </c>
      <c r="Z30" t="s">
        <v>33</v>
      </c>
      <c r="AA30" t="s">
        <v>33</v>
      </c>
      <c r="AB30" s="2">
        <v>130000</v>
      </c>
    </row>
    <row r="31" spans="1:28" hidden="1" x14ac:dyDescent="0.25">
      <c r="A31" t="s">
        <v>107</v>
      </c>
      <c r="B31" s="1">
        <v>45783</v>
      </c>
      <c r="C31" s="1">
        <v>45787</v>
      </c>
      <c r="D31" t="s">
        <v>29</v>
      </c>
      <c r="E31" t="s">
        <v>116</v>
      </c>
      <c r="F31" t="s">
        <v>119</v>
      </c>
      <c r="G31" t="s">
        <v>120</v>
      </c>
      <c r="H31" t="s">
        <v>41</v>
      </c>
      <c r="I31" s="2">
        <v>300</v>
      </c>
      <c r="J31" s="2">
        <v>252</v>
      </c>
      <c r="K31" s="2">
        <v>252</v>
      </c>
      <c r="L31" s="3">
        <v>410</v>
      </c>
      <c r="M31" s="3">
        <v>133</v>
      </c>
      <c r="N31" s="4">
        <v>2.08</v>
      </c>
      <c r="O31" s="3">
        <v>410</v>
      </c>
      <c r="P31" s="3">
        <v>133</v>
      </c>
      <c r="Q31" s="4">
        <v>2.08</v>
      </c>
      <c r="R31" s="2">
        <v>83100</v>
      </c>
      <c r="S31" s="2">
        <v>69804</v>
      </c>
      <c r="T31" s="2">
        <v>123000</v>
      </c>
      <c r="U31" s="2">
        <v>103320</v>
      </c>
      <c r="V31" s="2">
        <v>-13296</v>
      </c>
      <c r="W31" s="2">
        <v>-19680</v>
      </c>
      <c r="X31" s="2">
        <v>0</v>
      </c>
      <c r="Y31" s="2">
        <v>0</v>
      </c>
      <c r="Z31" t="s">
        <v>33</v>
      </c>
      <c r="AA31" t="s">
        <v>33</v>
      </c>
      <c r="AB31" s="2">
        <v>39900</v>
      </c>
    </row>
    <row r="32" spans="1:28" hidden="1" x14ac:dyDescent="0.25">
      <c r="A32" t="s">
        <v>107</v>
      </c>
      <c r="B32" s="1">
        <v>45783</v>
      </c>
      <c r="C32" s="1">
        <v>45787</v>
      </c>
      <c r="D32" t="s">
        <v>29</v>
      </c>
      <c r="E32" t="s">
        <v>121</v>
      </c>
      <c r="F32" t="s">
        <v>122</v>
      </c>
      <c r="G32" t="s">
        <v>123</v>
      </c>
      <c r="H32" t="s">
        <v>52</v>
      </c>
      <c r="I32" s="2">
        <v>1000</v>
      </c>
      <c r="J32" s="2">
        <v>979</v>
      </c>
      <c r="K32" s="2">
        <v>979</v>
      </c>
      <c r="L32" s="3">
        <v>100</v>
      </c>
      <c r="M32" s="3">
        <v>68</v>
      </c>
      <c r="N32" s="4">
        <v>0.47</v>
      </c>
      <c r="O32" s="3">
        <v>100</v>
      </c>
      <c r="P32" s="3">
        <v>68</v>
      </c>
      <c r="Q32" s="4">
        <v>0.47</v>
      </c>
      <c r="R32" s="2">
        <v>32000</v>
      </c>
      <c r="S32" s="2">
        <v>31328</v>
      </c>
      <c r="T32" s="2">
        <v>100000</v>
      </c>
      <c r="U32" s="2">
        <v>97900</v>
      </c>
      <c r="V32" s="2">
        <v>-672</v>
      </c>
      <c r="W32" s="2">
        <v>-2100</v>
      </c>
      <c r="X32" s="2">
        <v>0</v>
      </c>
      <c r="Y32" s="2">
        <v>0</v>
      </c>
      <c r="Z32" t="s">
        <v>33</v>
      </c>
      <c r="AA32" t="s">
        <v>33</v>
      </c>
      <c r="AB32" s="2">
        <v>68000</v>
      </c>
    </row>
    <row r="33" spans="1:28" hidden="1" x14ac:dyDescent="0.25">
      <c r="A33" t="s">
        <v>107</v>
      </c>
      <c r="B33" s="1">
        <v>45784</v>
      </c>
      <c r="C33" s="1">
        <v>45787</v>
      </c>
      <c r="D33" t="s">
        <v>29</v>
      </c>
      <c r="E33" t="s">
        <v>124</v>
      </c>
      <c r="F33" t="s">
        <v>125</v>
      </c>
      <c r="G33" t="s">
        <v>126</v>
      </c>
      <c r="H33" t="s">
        <v>127</v>
      </c>
      <c r="I33" s="2">
        <v>3000</v>
      </c>
      <c r="J33" s="2">
        <v>3032</v>
      </c>
      <c r="K33" s="2">
        <v>3032</v>
      </c>
      <c r="L33" s="3">
        <v>14.3</v>
      </c>
      <c r="M33" s="3">
        <v>8.25</v>
      </c>
      <c r="N33" s="4">
        <v>0.73</v>
      </c>
      <c r="O33" s="3">
        <v>14.3</v>
      </c>
      <c r="P33" s="3">
        <v>8.25</v>
      </c>
      <c r="Q33" s="4">
        <v>0.73</v>
      </c>
      <c r="R33" s="2">
        <v>18150</v>
      </c>
      <c r="S33" s="2">
        <v>18343.599999999999</v>
      </c>
      <c r="T33" s="2">
        <v>42900</v>
      </c>
      <c r="U33" s="2">
        <v>43357.599999999999</v>
      </c>
      <c r="V33" s="2">
        <v>193.59999999999854</v>
      </c>
      <c r="W33" s="2">
        <v>457.59999999999854</v>
      </c>
      <c r="X33" s="2">
        <v>0</v>
      </c>
      <c r="Y33" s="2">
        <v>0</v>
      </c>
      <c r="Z33" t="s">
        <v>33</v>
      </c>
      <c r="AA33" t="s">
        <v>33</v>
      </c>
      <c r="AB33" s="2">
        <v>24750</v>
      </c>
    </row>
    <row r="34" spans="1:28" hidden="1" x14ac:dyDescent="0.25">
      <c r="A34" t="s">
        <v>107</v>
      </c>
      <c r="B34" s="1">
        <v>45785</v>
      </c>
      <c r="C34" s="1">
        <v>45787</v>
      </c>
      <c r="D34" t="s">
        <v>29</v>
      </c>
      <c r="E34" t="s">
        <v>128</v>
      </c>
      <c r="F34" t="s">
        <v>129</v>
      </c>
      <c r="G34" t="s">
        <v>130</v>
      </c>
      <c r="H34" t="s">
        <v>52</v>
      </c>
      <c r="I34" s="2">
        <v>500</v>
      </c>
      <c r="J34" s="2">
        <v>498</v>
      </c>
      <c r="K34" s="2">
        <v>498</v>
      </c>
      <c r="L34" s="3">
        <v>280</v>
      </c>
      <c r="M34" s="3">
        <v>160</v>
      </c>
      <c r="N34" s="4">
        <v>0.75</v>
      </c>
      <c r="O34" s="3">
        <v>280</v>
      </c>
      <c r="P34" s="3">
        <v>160</v>
      </c>
      <c r="Q34" s="4">
        <v>0.75</v>
      </c>
      <c r="R34" s="2">
        <v>60000</v>
      </c>
      <c r="S34" s="2">
        <v>59760</v>
      </c>
      <c r="T34" s="2">
        <v>140000</v>
      </c>
      <c r="U34" s="2">
        <v>139440</v>
      </c>
      <c r="V34" s="2">
        <v>-240</v>
      </c>
      <c r="W34" s="2">
        <v>-560</v>
      </c>
      <c r="X34" s="2">
        <v>0</v>
      </c>
      <c r="Y34" s="2">
        <v>0</v>
      </c>
      <c r="Z34" t="s">
        <v>33</v>
      </c>
      <c r="AA34" t="s">
        <v>33</v>
      </c>
      <c r="AB34" s="2">
        <v>80000</v>
      </c>
    </row>
    <row r="35" spans="1:28" hidden="1" x14ac:dyDescent="0.25">
      <c r="A35" t="s">
        <v>107</v>
      </c>
      <c r="B35" s="1">
        <v>45790</v>
      </c>
      <c r="C35" s="1">
        <v>45791</v>
      </c>
      <c r="D35" t="s">
        <v>29</v>
      </c>
      <c r="E35" t="s">
        <v>131</v>
      </c>
      <c r="F35" t="s">
        <v>132</v>
      </c>
      <c r="G35" t="s">
        <v>133</v>
      </c>
      <c r="H35" t="s">
        <v>52</v>
      </c>
      <c r="I35" s="2">
        <v>300</v>
      </c>
      <c r="J35" s="2">
        <v>307</v>
      </c>
      <c r="K35" s="2">
        <v>307</v>
      </c>
      <c r="L35" s="3">
        <v>65</v>
      </c>
      <c r="M35" s="3">
        <v>56</v>
      </c>
      <c r="N35" s="4">
        <v>0.16</v>
      </c>
      <c r="O35" s="3">
        <v>65</v>
      </c>
      <c r="P35" s="3">
        <v>56</v>
      </c>
      <c r="Q35" s="4">
        <v>0.16</v>
      </c>
      <c r="R35" s="2">
        <v>2700</v>
      </c>
      <c r="S35" s="2">
        <v>2763</v>
      </c>
      <c r="T35" s="2">
        <v>19500</v>
      </c>
      <c r="U35" s="2">
        <v>19955</v>
      </c>
      <c r="V35" s="2">
        <v>63</v>
      </c>
      <c r="W35" s="2">
        <v>455</v>
      </c>
      <c r="X35" s="2">
        <v>0</v>
      </c>
      <c r="Y35" s="2">
        <v>0</v>
      </c>
      <c r="Z35" t="s">
        <v>33</v>
      </c>
      <c r="AA35" t="s">
        <v>33</v>
      </c>
      <c r="AB35" s="2">
        <v>16800</v>
      </c>
    </row>
    <row r="36" spans="1:28" hidden="1" x14ac:dyDescent="0.25">
      <c r="A36" t="s">
        <v>107</v>
      </c>
      <c r="B36" s="1">
        <v>45790</v>
      </c>
      <c r="C36" s="1">
        <v>45791</v>
      </c>
      <c r="D36" t="s">
        <v>29</v>
      </c>
      <c r="E36" t="s">
        <v>131</v>
      </c>
      <c r="F36" t="s">
        <v>134</v>
      </c>
      <c r="G36" t="s">
        <v>135</v>
      </c>
      <c r="H36" t="s">
        <v>52</v>
      </c>
      <c r="I36" s="2">
        <v>300</v>
      </c>
      <c r="J36" s="2">
        <v>320</v>
      </c>
      <c r="K36" s="2">
        <v>320</v>
      </c>
      <c r="L36" s="3">
        <v>82</v>
      </c>
      <c r="M36" s="3">
        <v>78</v>
      </c>
      <c r="N36" s="4">
        <v>0.05</v>
      </c>
      <c r="O36" s="3">
        <v>82</v>
      </c>
      <c r="P36" s="3">
        <v>78</v>
      </c>
      <c r="Q36" s="4">
        <v>0.05</v>
      </c>
      <c r="R36" s="2">
        <v>1200</v>
      </c>
      <c r="S36" s="2">
        <v>1280</v>
      </c>
      <c r="T36" s="2">
        <v>24600</v>
      </c>
      <c r="U36" s="2">
        <v>26240</v>
      </c>
      <c r="V36" s="2">
        <v>80</v>
      </c>
      <c r="W36" s="2">
        <v>1640</v>
      </c>
      <c r="X36" s="2">
        <v>0</v>
      </c>
      <c r="Y36" s="2">
        <v>0</v>
      </c>
      <c r="Z36" t="s">
        <v>33</v>
      </c>
      <c r="AA36" t="s">
        <v>33</v>
      </c>
      <c r="AB36" s="2">
        <v>23400</v>
      </c>
    </row>
    <row r="37" spans="1:28" hidden="1" x14ac:dyDescent="0.25">
      <c r="A37" t="s">
        <v>107</v>
      </c>
      <c r="B37" s="1">
        <v>45791</v>
      </c>
      <c r="C37" s="1">
        <v>45796</v>
      </c>
      <c r="D37" t="s">
        <v>29</v>
      </c>
      <c r="E37" t="s">
        <v>136</v>
      </c>
      <c r="F37" t="s">
        <v>137</v>
      </c>
      <c r="G37" t="s">
        <v>138</v>
      </c>
      <c r="H37" t="s">
        <v>52</v>
      </c>
      <c r="I37" s="2">
        <v>300</v>
      </c>
      <c r="J37" s="2">
        <v>293</v>
      </c>
      <c r="K37" s="2">
        <v>293</v>
      </c>
      <c r="L37" s="3">
        <v>76</v>
      </c>
      <c r="M37" s="3">
        <v>72</v>
      </c>
      <c r="N37" s="4">
        <v>0.06</v>
      </c>
      <c r="O37" s="3">
        <v>76</v>
      </c>
      <c r="P37" s="3">
        <v>72</v>
      </c>
      <c r="Q37" s="4">
        <v>0.06</v>
      </c>
      <c r="R37" s="2">
        <v>1200</v>
      </c>
      <c r="S37" s="2">
        <v>1172</v>
      </c>
      <c r="T37" s="2">
        <v>22800</v>
      </c>
      <c r="U37" s="2">
        <v>22268</v>
      </c>
      <c r="V37" s="2">
        <v>-28</v>
      </c>
      <c r="W37" s="2">
        <v>-532</v>
      </c>
      <c r="X37" s="2">
        <v>0</v>
      </c>
      <c r="Y37" s="2">
        <v>0</v>
      </c>
      <c r="Z37" t="s">
        <v>33</v>
      </c>
      <c r="AA37" t="s">
        <v>33</v>
      </c>
      <c r="AB37" s="2">
        <v>21600</v>
      </c>
    </row>
    <row r="38" spans="1:28" hidden="1" x14ac:dyDescent="0.25">
      <c r="A38" t="s">
        <v>107</v>
      </c>
      <c r="B38" s="1">
        <v>45791</v>
      </c>
      <c r="C38" s="1">
        <v>45798</v>
      </c>
      <c r="D38" t="s">
        <v>29</v>
      </c>
      <c r="E38" t="s">
        <v>139</v>
      </c>
      <c r="F38" t="s">
        <v>140</v>
      </c>
      <c r="G38" t="s">
        <v>141</v>
      </c>
      <c r="H38" t="s">
        <v>52</v>
      </c>
      <c r="I38" s="2">
        <v>300</v>
      </c>
      <c r="J38" s="2">
        <v>298</v>
      </c>
      <c r="K38" s="2">
        <v>298</v>
      </c>
      <c r="L38" s="3">
        <v>190</v>
      </c>
      <c r="M38" s="3">
        <v>137</v>
      </c>
      <c r="N38" s="4">
        <v>0.39</v>
      </c>
      <c r="O38" s="3">
        <v>190</v>
      </c>
      <c r="P38" s="3">
        <v>137</v>
      </c>
      <c r="Q38" s="4">
        <v>0.39</v>
      </c>
      <c r="R38" s="2">
        <v>15900</v>
      </c>
      <c r="S38" s="2">
        <v>15794</v>
      </c>
      <c r="T38" s="2">
        <v>57000</v>
      </c>
      <c r="U38" s="2">
        <v>56620</v>
      </c>
      <c r="V38" s="2">
        <v>-106</v>
      </c>
      <c r="W38" s="2">
        <v>-380</v>
      </c>
      <c r="X38" s="2">
        <v>0</v>
      </c>
      <c r="Y38" s="2">
        <v>0</v>
      </c>
      <c r="Z38" t="s">
        <v>33</v>
      </c>
      <c r="AA38" t="s">
        <v>33</v>
      </c>
      <c r="AB38" s="2">
        <v>41100</v>
      </c>
    </row>
    <row r="39" spans="1:28" hidden="1" x14ac:dyDescent="0.25">
      <c r="A39" t="s">
        <v>107</v>
      </c>
      <c r="B39" s="1">
        <v>45797</v>
      </c>
      <c r="C39" s="1">
        <v>45811</v>
      </c>
      <c r="D39" t="s">
        <v>29</v>
      </c>
      <c r="E39" t="s">
        <v>142</v>
      </c>
      <c r="F39" t="s">
        <v>143</v>
      </c>
      <c r="G39" t="s">
        <v>144</v>
      </c>
      <c r="H39" t="s">
        <v>41</v>
      </c>
      <c r="I39" s="2">
        <v>300</v>
      </c>
      <c r="J39" s="2">
        <v>291</v>
      </c>
      <c r="K39" s="2">
        <v>291</v>
      </c>
      <c r="L39" s="3">
        <v>250</v>
      </c>
      <c r="M39" s="3">
        <v>120</v>
      </c>
      <c r="N39" s="4">
        <v>1.08</v>
      </c>
      <c r="O39" s="3">
        <v>250</v>
      </c>
      <c r="P39" s="3">
        <v>120</v>
      </c>
      <c r="Q39" s="4">
        <v>1.08</v>
      </c>
      <c r="R39" s="2">
        <v>39000</v>
      </c>
      <c r="S39" s="2">
        <v>37830</v>
      </c>
      <c r="T39" s="2">
        <v>75000</v>
      </c>
      <c r="U39" s="2">
        <v>72750</v>
      </c>
      <c r="V39" s="2">
        <v>-1170</v>
      </c>
      <c r="W39" s="2">
        <v>-2250</v>
      </c>
      <c r="X39" s="2">
        <v>0</v>
      </c>
      <c r="Y39" s="2">
        <v>0</v>
      </c>
      <c r="Z39" t="s">
        <v>33</v>
      </c>
      <c r="AA39" t="s">
        <v>33</v>
      </c>
      <c r="AB39" s="2">
        <v>36000</v>
      </c>
    </row>
    <row r="40" spans="1:28" hidden="1" x14ac:dyDescent="0.25">
      <c r="A40" t="s">
        <v>107</v>
      </c>
      <c r="B40" s="1">
        <v>45804</v>
      </c>
      <c r="C40" s="1">
        <v>45813</v>
      </c>
      <c r="D40" t="s">
        <v>29</v>
      </c>
      <c r="E40" t="s">
        <v>145</v>
      </c>
      <c r="F40" t="s">
        <v>146</v>
      </c>
      <c r="G40" t="s">
        <v>147</v>
      </c>
      <c r="H40" t="s">
        <v>52</v>
      </c>
      <c r="I40" s="2">
        <v>600</v>
      </c>
      <c r="J40" s="2">
        <v>439</v>
      </c>
      <c r="K40" s="2">
        <v>439</v>
      </c>
      <c r="L40" s="3">
        <v>287</v>
      </c>
      <c r="M40" s="3">
        <v>220</v>
      </c>
      <c r="N40" s="4">
        <v>0.3</v>
      </c>
      <c r="O40" s="3">
        <v>287</v>
      </c>
      <c r="P40" s="3">
        <v>220</v>
      </c>
      <c r="Q40" s="4">
        <v>0.3</v>
      </c>
      <c r="R40" s="2">
        <v>40200</v>
      </c>
      <c r="S40" s="2">
        <v>29413</v>
      </c>
      <c r="T40" s="2">
        <v>172200</v>
      </c>
      <c r="U40" s="2">
        <v>125993</v>
      </c>
      <c r="V40" s="2">
        <v>-10787</v>
      </c>
      <c r="W40" s="2">
        <v>-46207</v>
      </c>
      <c r="X40" s="2">
        <v>0</v>
      </c>
      <c r="Y40" s="2">
        <v>0</v>
      </c>
      <c r="Z40" t="s">
        <v>33</v>
      </c>
      <c r="AA40" t="s">
        <v>33</v>
      </c>
      <c r="AB40" s="2">
        <v>132000</v>
      </c>
    </row>
    <row r="41" spans="1:28" hidden="1" x14ac:dyDescent="0.25">
      <c r="A41" t="s">
        <v>107</v>
      </c>
      <c r="B41" s="1">
        <v>45804</v>
      </c>
      <c r="C41" s="1">
        <v>45818</v>
      </c>
      <c r="D41" t="s">
        <v>29</v>
      </c>
      <c r="E41" t="s">
        <v>148</v>
      </c>
      <c r="F41" t="s">
        <v>149</v>
      </c>
      <c r="G41" t="s">
        <v>150</v>
      </c>
      <c r="H41" t="s">
        <v>52</v>
      </c>
      <c r="I41" s="2">
        <v>500</v>
      </c>
      <c r="J41" s="2">
        <v>514</v>
      </c>
      <c r="K41" s="2">
        <v>514</v>
      </c>
      <c r="L41" s="3">
        <v>81</v>
      </c>
      <c r="M41" s="3">
        <v>62</v>
      </c>
      <c r="N41" s="4">
        <v>0.31</v>
      </c>
      <c r="O41" s="3">
        <v>81</v>
      </c>
      <c r="P41" s="3">
        <v>62</v>
      </c>
      <c r="Q41" s="4">
        <v>0.31</v>
      </c>
      <c r="R41" s="2">
        <v>9500</v>
      </c>
      <c r="S41" s="2">
        <v>9766</v>
      </c>
      <c r="T41" s="2">
        <v>40500</v>
      </c>
      <c r="U41" s="2">
        <v>41634</v>
      </c>
      <c r="V41" s="2">
        <v>266</v>
      </c>
      <c r="W41" s="2">
        <v>1134</v>
      </c>
      <c r="X41" s="2">
        <v>0</v>
      </c>
      <c r="Y41" s="2">
        <v>0</v>
      </c>
      <c r="Z41" t="s">
        <v>33</v>
      </c>
      <c r="AA41" t="s">
        <v>33</v>
      </c>
      <c r="AB41" s="2">
        <v>31000</v>
      </c>
    </row>
    <row r="42" spans="1:28" hidden="1" x14ac:dyDescent="0.25">
      <c r="A42" t="s">
        <v>107</v>
      </c>
      <c r="B42" s="1">
        <v>45808</v>
      </c>
      <c r="C42" s="1">
        <v>45824</v>
      </c>
      <c r="D42" t="s">
        <v>29</v>
      </c>
      <c r="E42" t="s">
        <v>151</v>
      </c>
      <c r="F42" t="s">
        <v>152</v>
      </c>
      <c r="G42" t="s">
        <v>153</v>
      </c>
      <c r="H42" t="s">
        <v>35</v>
      </c>
      <c r="I42" s="2">
        <v>3000</v>
      </c>
      <c r="J42" s="2">
        <v>2747</v>
      </c>
      <c r="K42" s="2">
        <v>2747</v>
      </c>
      <c r="L42" s="3">
        <v>14</v>
      </c>
      <c r="M42" s="3">
        <v>12</v>
      </c>
      <c r="N42" s="4">
        <v>0.17</v>
      </c>
      <c r="O42" s="3">
        <v>14</v>
      </c>
      <c r="P42" s="3">
        <v>12</v>
      </c>
      <c r="Q42" s="4">
        <v>0.17</v>
      </c>
      <c r="R42" s="2">
        <v>6000</v>
      </c>
      <c r="S42" s="2">
        <v>5494</v>
      </c>
      <c r="T42" s="2">
        <v>42000</v>
      </c>
      <c r="U42" s="2">
        <v>38458</v>
      </c>
      <c r="V42" s="2">
        <v>-506</v>
      </c>
      <c r="W42" s="2">
        <v>-3542</v>
      </c>
      <c r="X42" s="2">
        <v>0</v>
      </c>
      <c r="Y42" s="2">
        <v>0</v>
      </c>
      <c r="Z42" t="s">
        <v>33</v>
      </c>
      <c r="AA42" t="s">
        <v>33</v>
      </c>
      <c r="AB42" s="2">
        <v>36000</v>
      </c>
    </row>
    <row r="43" spans="1:28" hidden="1" x14ac:dyDescent="0.25">
      <c r="A43" t="s">
        <v>107</v>
      </c>
      <c r="B43" s="1">
        <v>45808</v>
      </c>
      <c r="C43" s="1">
        <v>45828</v>
      </c>
      <c r="D43" t="s">
        <v>29</v>
      </c>
      <c r="E43" t="s">
        <v>154</v>
      </c>
      <c r="F43" t="s">
        <v>155</v>
      </c>
      <c r="G43" t="s">
        <v>156</v>
      </c>
      <c r="H43" t="s">
        <v>52</v>
      </c>
      <c r="I43" s="2">
        <v>300</v>
      </c>
      <c r="J43" s="2">
        <v>314</v>
      </c>
      <c r="K43" s="2">
        <v>314</v>
      </c>
      <c r="L43" s="3">
        <v>590</v>
      </c>
      <c r="M43" s="3">
        <v>535</v>
      </c>
      <c r="N43" s="4">
        <v>0.1</v>
      </c>
      <c r="O43" s="3">
        <v>590</v>
      </c>
      <c r="P43" s="3">
        <v>535</v>
      </c>
      <c r="Q43" s="4">
        <v>0.1</v>
      </c>
      <c r="R43" s="2">
        <v>16500</v>
      </c>
      <c r="S43" s="2">
        <v>17270</v>
      </c>
      <c r="T43" s="2">
        <v>177000</v>
      </c>
      <c r="U43" s="2">
        <v>185260</v>
      </c>
      <c r="V43" s="2">
        <v>770</v>
      </c>
      <c r="W43" s="2">
        <v>8260</v>
      </c>
      <c r="X43" s="2">
        <v>0</v>
      </c>
      <c r="Y43" s="2">
        <v>0</v>
      </c>
      <c r="Z43" t="s">
        <v>33</v>
      </c>
      <c r="AA43" t="s">
        <v>33</v>
      </c>
      <c r="AB43" s="2">
        <v>160500</v>
      </c>
    </row>
    <row r="44" spans="1:28" hidden="1" x14ac:dyDescent="0.25">
      <c r="A44" t="s">
        <v>107</v>
      </c>
      <c r="B44" s="1">
        <v>45808</v>
      </c>
      <c r="C44" s="1">
        <v>45846</v>
      </c>
      <c r="D44" t="s">
        <v>29</v>
      </c>
      <c r="E44" t="s">
        <v>157</v>
      </c>
      <c r="F44" t="s">
        <v>158</v>
      </c>
      <c r="G44" t="s">
        <v>159</v>
      </c>
      <c r="H44" t="s">
        <v>52</v>
      </c>
      <c r="I44" s="2">
        <v>500</v>
      </c>
      <c r="J44" s="2">
        <v>498</v>
      </c>
      <c r="K44" s="2">
        <v>498</v>
      </c>
      <c r="L44" s="3">
        <v>69</v>
      </c>
      <c r="M44" s="3">
        <v>62</v>
      </c>
      <c r="N44" s="4">
        <v>0.11</v>
      </c>
      <c r="O44" s="3">
        <v>69</v>
      </c>
      <c r="P44" s="3">
        <v>62</v>
      </c>
      <c r="Q44" s="4" t="s">
        <v>37</v>
      </c>
      <c r="R44" s="2">
        <v>3500</v>
      </c>
      <c r="S44" s="2">
        <v>3486</v>
      </c>
      <c r="T44" s="2">
        <v>34500</v>
      </c>
      <c r="U44" s="2">
        <v>34362</v>
      </c>
      <c r="V44" s="2">
        <v>14</v>
      </c>
      <c r="W44" s="2">
        <v>138</v>
      </c>
      <c r="X44" s="2">
        <v>0</v>
      </c>
      <c r="Y44" s="2">
        <v>0</v>
      </c>
      <c r="Z44" t="s">
        <v>37</v>
      </c>
      <c r="AA44" t="s">
        <v>37</v>
      </c>
      <c r="AB44" s="2">
        <v>31000</v>
      </c>
    </row>
    <row r="45" spans="1:28" hidden="1" x14ac:dyDescent="0.25">
      <c r="A45" t="s">
        <v>107</v>
      </c>
      <c r="B45" s="1">
        <v>45808</v>
      </c>
      <c r="C45" s="1">
        <v>45846</v>
      </c>
      <c r="D45" t="s">
        <v>29</v>
      </c>
      <c r="E45" t="s">
        <v>157</v>
      </c>
      <c r="F45" t="s">
        <v>158</v>
      </c>
      <c r="G45" t="s">
        <v>160</v>
      </c>
      <c r="H45" t="s">
        <v>52</v>
      </c>
      <c r="I45" s="2">
        <v>500</v>
      </c>
      <c r="J45" s="2">
        <v>496</v>
      </c>
      <c r="K45" s="2">
        <v>496</v>
      </c>
      <c r="L45" s="3">
        <v>78</v>
      </c>
      <c r="M45" s="3">
        <v>62</v>
      </c>
      <c r="N45" s="4">
        <v>0.24</v>
      </c>
      <c r="O45" s="3">
        <v>78</v>
      </c>
      <c r="P45" s="3">
        <v>62</v>
      </c>
      <c r="Q45" s="4" t="s">
        <v>37</v>
      </c>
      <c r="R45" s="2">
        <v>8000</v>
      </c>
      <c r="S45" s="2">
        <v>7936</v>
      </c>
      <c r="T45" s="2">
        <v>39000</v>
      </c>
      <c r="U45" s="2">
        <v>38688</v>
      </c>
      <c r="V45" s="2">
        <v>64</v>
      </c>
      <c r="W45" s="2">
        <v>312</v>
      </c>
      <c r="X45" s="2">
        <v>0</v>
      </c>
      <c r="Y45" s="2">
        <v>0</v>
      </c>
      <c r="Z45" t="s">
        <v>37</v>
      </c>
      <c r="AA45" t="s">
        <v>37</v>
      </c>
      <c r="AB45" s="2">
        <v>31500</v>
      </c>
    </row>
    <row r="46" spans="1:28" x14ac:dyDescent="0.25">
      <c r="A46" t="s">
        <v>161</v>
      </c>
      <c r="B46" s="1">
        <v>45754</v>
      </c>
      <c r="C46" s="1">
        <v>45754</v>
      </c>
      <c r="D46" t="s">
        <v>29</v>
      </c>
      <c r="E46" t="s">
        <v>162</v>
      </c>
      <c r="F46" t="s">
        <v>163</v>
      </c>
      <c r="G46" t="s">
        <v>164</v>
      </c>
      <c r="H46" t="s">
        <v>41</v>
      </c>
      <c r="I46" s="2">
        <v>300</v>
      </c>
      <c r="J46" s="2">
        <v>301</v>
      </c>
      <c r="K46" s="2">
        <v>301</v>
      </c>
      <c r="L46" s="3">
        <v>150</v>
      </c>
      <c r="M46" s="3">
        <v>120</v>
      </c>
      <c r="N46" s="4">
        <v>0.25</v>
      </c>
      <c r="O46" s="3">
        <v>150</v>
      </c>
      <c r="P46" s="3">
        <v>120</v>
      </c>
      <c r="Q46" s="4">
        <v>0.25</v>
      </c>
      <c r="R46" s="2">
        <v>9000</v>
      </c>
      <c r="S46" s="2">
        <v>9030</v>
      </c>
      <c r="T46" s="2">
        <v>45000</v>
      </c>
      <c r="U46" s="2">
        <v>45150</v>
      </c>
      <c r="V46" s="2">
        <v>30</v>
      </c>
      <c r="W46" s="2">
        <v>150</v>
      </c>
      <c r="X46" s="2">
        <v>0</v>
      </c>
      <c r="Y46" s="2">
        <v>0</v>
      </c>
      <c r="Z46" t="s">
        <v>33</v>
      </c>
      <c r="AA46" t="s">
        <v>33</v>
      </c>
      <c r="AB46" s="2">
        <v>36000</v>
      </c>
    </row>
    <row r="47" spans="1:28" x14ac:dyDescent="0.25">
      <c r="A47" t="s">
        <v>161</v>
      </c>
      <c r="B47" s="1">
        <v>45754</v>
      </c>
      <c r="C47" s="1">
        <v>45755</v>
      </c>
      <c r="D47" t="s">
        <v>29</v>
      </c>
      <c r="E47" t="s">
        <v>165</v>
      </c>
      <c r="F47" t="s">
        <v>166</v>
      </c>
      <c r="G47" t="s">
        <v>167</v>
      </c>
      <c r="H47" t="s">
        <v>52</v>
      </c>
      <c r="I47" s="2">
        <v>400</v>
      </c>
      <c r="J47" s="2">
        <v>401</v>
      </c>
      <c r="K47" s="2">
        <v>401</v>
      </c>
      <c r="L47" s="3">
        <v>195</v>
      </c>
      <c r="M47" s="3">
        <v>90</v>
      </c>
      <c r="N47" s="4">
        <v>1.17</v>
      </c>
      <c r="O47" s="3">
        <v>195</v>
      </c>
      <c r="P47" s="3">
        <v>90</v>
      </c>
      <c r="Q47" s="4">
        <v>1.17</v>
      </c>
      <c r="R47" s="2">
        <v>42000</v>
      </c>
      <c r="S47" s="2">
        <v>42105</v>
      </c>
      <c r="T47" s="2">
        <v>78000</v>
      </c>
      <c r="U47" s="2">
        <v>78195</v>
      </c>
      <c r="V47" s="2">
        <v>105</v>
      </c>
      <c r="W47" s="2">
        <v>195</v>
      </c>
      <c r="X47" s="2">
        <v>0</v>
      </c>
      <c r="Y47" s="2">
        <v>0</v>
      </c>
      <c r="Z47" t="s">
        <v>33</v>
      </c>
      <c r="AA47" t="s">
        <v>33</v>
      </c>
      <c r="AB47" s="2">
        <v>36000</v>
      </c>
    </row>
    <row r="48" spans="1:28" x14ac:dyDescent="0.25">
      <c r="A48" t="s">
        <v>161</v>
      </c>
      <c r="B48" s="1">
        <v>45754</v>
      </c>
      <c r="C48" s="1">
        <v>45755</v>
      </c>
      <c r="D48" t="s">
        <v>29</v>
      </c>
      <c r="E48" t="s">
        <v>165</v>
      </c>
      <c r="F48" t="s">
        <v>166</v>
      </c>
      <c r="G48" t="s">
        <v>168</v>
      </c>
      <c r="H48" t="s">
        <v>41</v>
      </c>
      <c r="I48" s="2">
        <v>300</v>
      </c>
      <c r="J48" s="2">
        <v>299</v>
      </c>
      <c r="K48" s="2">
        <v>299</v>
      </c>
      <c r="L48" s="3">
        <v>195</v>
      </c>
      <c r="M48" s="3">
        <v>158</v>
      </c>
      <c r="N48" s="4">
        <v>0.23</v>
      </c>
      <c r="O48" s="3">
        <v>195</v>
      </c>
      <c r="P48" s="3">
        <v>158</v>
      </c>
      <c r="Q48" s="4">
        <v>0.23</v>
      </c>
      <c r="R48" s="2">
        <v>11100</v>
      </c>
      <c r="S48" s="2">
        <v>11063</v>
      </c>
      <c r="T48" s="2">
        <v>58500</v>
      </c>
      <c r="U48" s="2">
        <v>58305</v>
      </c>
      <c r="V48" s="2">
        <v>-37</v>
      </c>
      <c r="W48" s="2">
        <v>-195</v>
      </c>
      <c r="X48" s="2">
        <v>0</v>
      </c>
      <c r="Y48" s="2">
        <v>0</v>
      </c>
      <c r="Z48" t="s">
        <v>33</v>
      </c>
      <c r="AA48" t="s">
        <v>33</v>
      </c>
      <c r="AB48" s="2">
        <v>47400</v>
      </c>
    </row>
    <row r="49" spans="1:28" x14ac:dyDescent="0.25">
      <c r="A49" t="s">
        <v>161</v>
      </c>
      <c r="B49" s="1">
        <v>45754</v>
      </c>
      <c r="C49" s="1">
        <v>45756</v>
      </c>
      <c r="D49" t="s">
        <v>29</v>
      </c>
      <c r="E49" t="s">
        <v>169</v>
      </c>
      <c r="F49" t="s">
        <v>170</v>
      </c>
      <c r="G49" t="s">
        <v>171</v>
      </c>
      <c r="H49" t="s">
        <v>41</v>
      </c>
      <c r="I49" s="2">
        <v>300</v>
      </c>
      <c r="J49" s="2">
        <v>296</v>
      </c>
      <c r="K49" s="2">
        <v>296</v>
      </c>
      <c r="L49" s="3">
        <v>165</v>
      </c>
      <c r="M49" s="3">
        <v>130</v>
      </c>
      <c r="N49" s="4">
        <v>0.27</v>
      </c>
      <c r="O49" s="3">
        <v>165</v>
      </c>
      <c r="P49" s="3">
        <v>130</v>
      </c>
      <c r="Q49" s="4">
        <v>0.27</v>
      </c>
      <c r="R49" s="2">
        <v>10500</v>
      </c>
      <c r="S49" s="2">
        <v>10360</v>
      </c>
      <c r="T49" s="2">
        <v>49500</v>
      </c>
      <c r="U49" s="2">
        <v>48840</v>
      </c>
      <c r="V49" s="2">
        <v>-140</v>
      </c>
      <c r="W49" s="2">
        <v>-660</v>
      </c>
      <c r="X49" s="2">
        <v>0</v>
      </c>
      <c r="Y49" s="2">
        <v>0</v>
      </c>
      <c r="Z49" t="s">
        <v>33</v>
      </c>
      <c r="AA49" t="s">
        <v>33</v>
      </c>
      <c r="AB49" s="2">
        <v>39000</v>
      </c>
    </row>
    <row r="50" spans="1:28" x14ac:dyDescent="0.25">
      <c r="A50" t="s">
        <v>161</v>
      </c>
      <c r="B50" s="1">
        <v>45754</v>
      </c>
      <c r="C50" s="1">
        <v>45756</v>
      </c>
      <c r="D50" t="s">
        <v>29</v>
      </c>
      <c r="E50" t="s">
        <v>172</v>
      </c>
      <c r="F50" t="s">
        <v>173</v>
      </c>
      <c r="G50" t="s">
        <v>174</v>
      </c>
      <c r="H50" t="s">
        <v>52</v>
      </c>
      <c r="I50" s="2">
        <v>300</v>
      </c>
      <c r="J50" s="2">
        <v>311</v>
      </c>
      <c r="K50" s="2">
        <v>311</v>
      </c>
      <c r="L50" s="3">
        <v>120</v>
      </c>
      <c r="M50" s="3">
        <v>112</v>
      </c>
      <c r="N50" s="4">
        <v>7.0000000000000007E-2</v>
      </c>
      <c r="O50" s="3">
        <v>120</v>
      </c>
      <c r="P50" s="3">
        <v>112</v>
      </c>
      <c r="Q50" s="4">
        <v>7.0000000000000007E-2</v>
      </c>
      <c r="R50" s="2">
        <v>2400</v>
      </c>
      <c r="S50" s="2">
        <v>2488</v>
      </c>
      <c r="T50" s="2">
        <v>36000</v>
      </c>
      <c r="U50" s="2">
        <v>37320</v>
      </c>
      <c r="V50" s="2">
        <v>88</v>
      </c>
      <c r="W50" s="2">
        <v>1320</v>
      </c>
      <c r="X50" s="2">
        <v>0</v>
      </c>
      <c r="Y50" s="2">
        <v>0</v>
      </c>
      <c r="Z50" t="s">
        <v>33</v>
      </c>
      <c r="AA50" t="s">
        <v>33</v>
      </c>
      <c r="AB50" s="2">
        <v>33600</v>
      </c>
    </row>
    <row r="51" spans="1:28" x14ac:dyDescent="0.25">
      <c r="A51" t="s">
        <v>161</v>
      </c>
      <c r="B51" s="1">
        <v>45754</v>
      </c>
      <c r="C51" s="1">
        <v>45769</v>
      </c>
      <c r="D51" t="s">
        <v>29</v>
      </c>
      <c r="E51" t="s">
        <v>175</v>
      </c>
      <c r="F51" t="s">
        <v>176</v>
      </c>
      <c r="G51" t="s">
        <v>177</v>
      </c>
      <c r="H51" t="s">
        <v>41</v>
      </c>
      <c r="I51" s="2">
        <v>300</v>
      </c>
      <c r="J51" s="2">
        <v>295</v>
      </c>
      <c r="K51" s="2">
        <v>295</v>
      </c>
      <c r="L51" s="3">
        <v>275</v>
      </c>
      <c r="M51" s="3">
        <v>110</v>
      </c>
      <c r="N51" s="4">
        <v>1.5</v>
      </c>
      <c r="O51" s="3">
        <v>275</v>
      </c>
      <c r="P51" s="3">
        <v>110</v>
      </c>
      <c r="Q51" s="4">
        <v>1.5</v>
      </c>
      <c r="R51" s="2">
        <v>49500</v>
      </c>
      <c r="S51" s="2">
        <v>48675</v>
      </c>
      <c r="T51" s="2">
        <v>82500</v>
      </c>
      <c r="U51" s="2">
        <v>81125</v>
      </c>
      <c r="V51" s="2">
        <v>-825</v>
      </c>
      <c r="W51" s="2">
        <v>-1375</v>
      </c>
      <c r="X51" s="2">
        <v>0</v>
      </c>
      <c r="Y51" s="2">
        <v>0</v>
      </c>
      <c r="Z51" t="s">
        <v>33</v>
      </c>
      <c r="AA51" t="s">
        <v>33</v>
      </c>
      <c r="AB51" s="2">
        <v>33000</v>
      </c>
    </row>
    <row r="52" spans="1:28" x14ac:dyDescent="0.25">
      <c r="A52" t="s">
        <v>161</v>
      </c>
      <c r="B52" s="1">
        <v>45754</v>
      </c>
      <c r="C52" s="1">
        <v>45775</v>
      </c>
      <c r="D52" t="s">
        <v>29</v>
      </c>
      <c r="E52" t="s">
        <v>178</v>
      </c>
      <c r="F52" t="s">
        <v>179</v>
      </c>
      <c r="G52" t="s">
        <v>180</v>
      </c>
      <c r="H52" t="s">
        <v>52</v>
      </c>
      <c r="I52" s="2">
        <v>500</v>
      </c>
      <c r="J52" s="2">
        <v>503</v>
      </c>
      <c r="K52" s="2">
        <v>503</v>
      </c>
      <c r="L52" s="3">
        <v>168</v>
      </c>
      <c r="M52" s="3">
        <v>96</v>
      </c>
      <c r="N52" s="4">
        <v>0.75</v>
      </c>
      <c r="O52" s="3">
        <v>168</v>
      </c>
      <c r="P52" s="3">
        <v>96</v>
      </c>
      <c r="Q52" s="4">
        <v>0.75</v>
      </c>
      <c r="R52" s="2">
        <v>36000</v>
      </c>
      <c r="S52" s="2">
        <v>36216</v>
      </c>
      <c r="T52" s="2">
        <v>84000</v>
      </c>
      <c r="U52" s="2">
        <v>84504</v>
      </c>
      <c r="V52" s="2">
        <v>216</v>
      </c>
      <c r="W52" s="2">
        <v>504</v>
      </c>
      <c r="X52" s="2">
        <v>0</v>
      </c>
      <c r="Y52" s="2">
        <v>0</v>
      </c>
      <c r="Z52" t="s">
        <v>33</v>
      </c>
      <c r="AA52" t="s">
        <v>33</v>
      </c>
      <c r="AB52" s="2">
        <v>48000</v>
      </c>
    </row>
    <row r="53" spans="1:28" x14ac:dyDescent="0.25">
      <c r="A53" t="s">
        <v>161</v>
      </c>
      <c r="B53" s="1">
        <v>45756</v>
      </c>
      <c r="C53" s="1">
        <v>45756</v>
      </c>
      <c r="D53" t="s">
        <v>29</v>
      </c>
      <c r="E53" t="s">
        <v>181</v>
      </c>
      <c r="F53" t="s">
        <v>182</v>
      </c>
      <c r="G53" t="s">
        <v>183</v>
      </c>
      <c r="H53" t="s">
        <v>184</v>
      </c>
      <c r="I53" s="2">
        <v>2000</v>
      </c>
      <c r="J53" s="2">
        <v>2011</v>
      </c>
      <c r="K53" s="2">
        <v>2011</v>
      </c>
      <c r="L53" s="3">
        <v>14</v>
      </c>
      <c r="M53" s="3">
        <v>8.65</v>
      </c>
      <c r="N53" s="4">
        <v>0.62</v>
      </c>
      <c r="O53" s="3">
        <v>14</v>
      </c>
      <c r="P53" s="3">
        <v>8.65</v>
      </c>
      <c r="Q53" s="4">
        <v>0.62</v>
      </c>
      <c r="R53" s="2">
        <v>10700</v>
      </c>
      <c r="S53" s="2">
        <v>10758.849999999999</v>
      </c>
      <c r="T53" s="2">
        <v>28000</v>
      </c>
      <c r="U53" s="2">
        <v>28154</v>
      </c>
      <c r="V53" s="2">
        <v>58.849999999998545</v>
      </c>
      <c r="W53" s="2">
        <v>154</v>
      </c>
      <c r="X53" s="2">
        <v>0</v>
      </c>
      <c r="Y53" s="2">
        <v>0</v>
      </c>
      <c r="Z53" t="s">
        <v>33</v>
      </c>
      <c r="AA53" t="s">
        <v>33</v>
      </c>
      <c r="AB53" s="2">
        <v>17300</v>
      </c>
    </row>
    <row r="54" spans="1:28" x14ac:dyDescent="0.25">
      <c r="A54" t="s">
        <v>161</v>
      </c>
      <c r="B54" s="1">
        <v>45757</v>
      </c>
      <c r="C54" s="1">
        <v>45761</v>
      </c>
      <c r="D54" t="s">
        <v>29</v>
      </c>
      <c r="E54" t="s">
        <v>185</v>
      </c>
      <c r="F54" t="s">
        <v>186</v>
      </c>
      <c r="G54" t="s">
        <v>187</v>
      </c>
      <c r="H54" t="s">
        <v>52</v>
      </c>
      <c r="I54" s="2">
        <v>300</v>
      </c>
      <c r="J54" s="2">
        <v>298</v>
      </c>
      <c r="K54" s="2">
        <v>298</v>
      </c>
      <c r="L54" s="3">
        <v>56</v>
      </c>
      <c r="M54" s="3">
        <v>52</v>
      </c>
      <c r="N54" s="4">
        <v>0.08</v>
      </c>
      <c r="O54" s="3">
        <v>56</v>
      </c>
      <c r="P54" s="3">
        <v>52</v>
      </c>
      <c r="Q54" s="4">
        <v>0.08</v>
      </c>
      <c r="R54" s="2">
        <v>1200</v>
      </c>
      <c r="S54" s="2">
        <v>1192</v>
      </c>
      <c r="T54" s="2">
        <v>16800</v>
      </c>
      <c r="U54" s="2">
        <v>16688</v>
      </c>
      <c r="V54" s="2">
        <v>-8</v>
      </c>
      <c r="W54" s="2">
        <v>-112</v>
      </c>
      <c r="X54" s="2">
        <v>0</v>
      </c>
      <c r="Y54" s="2">
        <v>0</v>
      </c>
      <c r="Z54" t="s">
        <v>33</v>
      </c>
      <c r="AA54" t="s">
        <v>33</v>
      </c>
      <c r="AB54" s="2">
        <v>15600</v>
      </c>
    </row>
    <row r="55" spans="1:28" x14ac:dyDescent="0.25">
      <c r="A55" t="s">
        <v>161</v>
      </c>
      <c r="B55" s="1">
        <v>45757</v>
      </c>
      <c r="C55" s="1">
        <v>45772</v>
      </c>
      <c r="D55" t="s">
        <v>29</v>
      </c>
      <c r="E55" t="s">
        <v>188</v>
      </c>
      <c r="F55" t="s">
        <v>189</v>
      </c>
      <c r="G55" t="s">
        <v>190</v>
      </c>
      <c r="H55" t="s">
        <v>52</v>
      </c>
      <c r="I55" s="2">
        <v>500</v>
      </c>
      <c r="J55" s="2">
        <v>488</v>
      </c>
      <c r="K55" s="2">
        <v>488</v>
      </c>
      <c r="L55" s="3">
        <v>110</v>
      </c>
      <c r="M55" s="3">
        <v>110</v>
      </c>
      <c r="N55" s="4">
        <v>0</v>
      </c>
      <c r="O55" s="3">
        <v>110</v>
      </c>
      <c r="P55" s="3">
        <v>110</v>
      </c>
      <c r="Q55" s="4">
        <v>0</v>
      </c>
      <c r="R55" s="2">
        <v>0</v>
      </c>
      <c r="S55" s="2">
        <v>0</v>
      </c>
      <c r="T55" s="2">
        <v>55000</v>
      </c>
      <c r="U55" s="2">
        <v>53680</v>
      </c>
      <c r="V55" s="2">
        <v>0</v>
      </c>
      <c r="W55" s="2">
        <v>-1320</v>
      </c>
      <c r="X55" s="2">
        <v>0</v>
      </c>
      <c r="Y55" s="2">
        <v>0</v>
      </c>
      <c r="Z55" t="s">
        <v>33</v>
      </c>
      <c r="AA55" t="s">
        <v>33</v>
      </c>
      <c r="AB55" s="2">
        <v>55000</v>
      </c>
    </row>
    <row r="56" spans="1:28" x14ac:dyDescent="0.25">
      <c r="A56" t="s">
        <v>161</v>
      </c>
      <c r="B56" s="1">
        <v>45758</v>
      </c>
      <c r="C56" s="1">
        <v>45766</v>
      </c>
      <c r="D56" t="s">
        <v>29</v>
      </c>
      <c r="E56" t="s">
        <v>191</v>
      </c>
      <c r="F56" t="s">
        <v>192</v>
      </c>
      <c r="G56" t="s">
        <v>193</v>
      </c>
      <c r="H56" t="s">
        <v>41</v>
      </c>
      <c r="I56" s="2">
        <v>200</v>
      </c>
      <c r="J56" s="2">
        <v>187</v>
      </c>
      <c r="K56" s="2">
        <v>187</v>
      </c>
      <c r="L56" s="3">
        <v>512</v>
      </c>
      <c r="M56" s="3">
        <v>125</v>
      </c>
      <c r="N56" s="4">
        <v>3.1</v>
      </c>
      <c r="O56" s="3">
        <v>512</v>
      </c>
      <c r="P56" s="3">
        <v>125</v>
      </c>
      <c r="Q56" s="4">
        <v>3.1</v>
      </c>
      <c r="R56" s="2">
        <v>77400</v>
      </c>
      <c r="S56" s="2">
        <v>72369</v>
      </c>
      <c r="T56" s="2">
        <v>102400</v>
      </c>
      <c r="U56" s="2">
        <v>95744</v>
      </c>
      <c r="V56" s="2">
        <v>-5031</v>
      </c>
      <c r="W56" s="2">
        <v>-6656</v>
      </c>
      <c r="X56" s="2">
        <v>0</v>
      </c>
      <c r="Y56" s="2">
        <v>0</v>
      </c>
      <c r="Z56" t="s">
        <v>33</v>
      </c>
      <c r="AA56" t="s">
        <v>33</v>
      </c>
      <c r="AB56" s="2">
        <v>25000</v>
      </c>
    </row>
    <row r="57" spans="1:28" x14ac:dyDescent="0.25">
      <c r="A57" t="s">
        <v>161</v>
      </c>
      <c r="B57" s="1">
        <v>45759</v>
      </c>
      <c r="C57" s="1">
        <v>45768</v>
      </c>
      <c r="D57" t="s">
        <v>29</v>
      </c>
      <c r="E57" t="s">
        <v>194</v>
      </c>
      <c r="F57" t="s">
        <v>195</v>
      </c>
      <c r="G57" t="s">
        <v>196</v>
      </c>
      <c r="H57" t="s">
        <v>52</v>
      </c>
      <c r="I57" s="2">
        <v>500</v>
      </c>
      <c r="J57" s="2">
        <v>495</v>
      </c>
      <c r="K57" s="2">
        <v>495</v>
      </c>
      <c r="L57" s="3">
        <v>98</v>
      </c>
      <c r="M57" s="3">
        <v>82</v>
      </c>
      <c r="N57" s="4">
        <v>0.2</v>
      </c>
      <c r="O57" s="3">
        <v>98</v>
      </c>
      <c r="P57" s="3">
        <v>82</v>
      </c>
      <c r="Q57" s="4">
        <v>0.2</v>
      </c>
      <c r="R57" s="2">
        <v>8000</v>
      </c>
      <c r="S57" s="2">
        <v>7920</v>
      </c>
      <c r="T57" s="2">
        <v>49000</v>
      </c>
      <c r="U57" s="2">
        <v>48510</v>
      </c>
      <c r="V57" s="2">
        <v>-80</v>
      </c>
      <c r="W57" s="2">
        <v>-490</v>
      </c>
      <c r="X57" s="2">
        <v>0</v>
      </c>
      <c r="Y57" s="2">
        <v>0</v>
      </c>
      <c r="Z57" t="s">
        <v>33</v>
      </c>
      <c r="AA57" t="s">
        <v>33</v>
      </c>
      <c r="AB57" s="2">
        <v>41000</v>
      </c>
    </row>
    <row r="58" spans="1:28" x14ac:dyDescent="0.25">
      <c r="A58" t="s">
        <v>161</v>
      </c>
      <c r="B58" s="1">
        <v>45759</v>
      </c>
      <c r="C58" s="1">
        <v>45775</v>
      </c>
      <c r="D58" t="s">
        <v>29</v>
      </c>
      <c r="E58" t="s">
        <v>194</v>
      </c>
      <c r="F58" t="s">
        <v>197</v>
      </c>
      <c r="G58" t="s">
        <v>198</v>
      </c>
      <c r="H58" t="s">
        <v>52</v>
      </c>
      <c r="I58" s="2">
        <v>500</v>
      </c>
      <c r="J58" s="2">
        <v>487</v>
      </c>
      <c r="K58" s="2">
        <v>487</v>
      </c>
      <c r="L58" s="3">
        <v>80</v>
      </c>
      <c r="M58" s="3">
        <v>64</v>
      </c>
      <c r="N58" s="4">
        <v>0.25</v>
      </c>
      <c r="O58" s="3">
        <v>80</v>
      </c>
      <c r="P58" s="3">
        <v>64</v>
      </c>
      <c r="Q58" s="4">
        <v>0.25</v>
      </c>
      <c r="R58" s="2">
        <v>8000</v>
      </c>
      <c r="S58" s="2">
        <v>7792</v>
      </c>
      <c r="T58" s="2">
        <v>40000</v>
      </c>
      <c r="U58" s="2">
        <v>38960</v>
      </c>
      <c r="V58" s="2">
        <v>-208</v>
      </c>
      <c r="W58" s="2">
        <v>-1040</v>
      </c>
      <c r="X58" s="2">
        <v>0</v>
      </c>
      <c r="Y58" s="2">
        <v>0</v>
      </c>
      <c r="Z58" t="s">
        <v>33</v>
      </c>
      <c r="AA58" t="s">
        <v>33</v>
      </c>
      <c r="AB58" s="2">
        <v>32000</v>
      </c>
    </row>
    <row r="59" spans="1:28" x14ac:dyDescent="0.25">
      <c r="A59" t="s">
        <v>161</v>
      </c>
      <c r="B59" s="1">
        <v>45761</v>
      </c>
      <c r="C59" s="1">
        <v>45787</v>
      </c>
      <c r="D59" t="s">
        <v>29</v>
      </c>
      <c r="E59" t="s">
        <v>199</v>
      </c>
      <c r="F59" t="s">
        <v>200</v>
      </c>
      <c r="G59" t="s">
        <v>201</v>
      </c>
      <c r="H59" t="s">
        <v>202</v>
      </c>
      <c r="I59" s="2">
        <v>3000</v>
      </c>
      <c r="J59" s="2">
        <v>1536</v>
      </c>
      <c r="K59" s="2">
        <v>1536</v>
      </c>
      <c r="L59" s="3">
        <v>17.5</v>
      </c>
      <c r="M59" s="3">
        <v>13.45</v>
      </c>
      <c r="N59" s="4">
        <v>0.3</v>
      </c>
      <c r="O59" s="3">
        <v>17.5</v>
      </c>
      <c r="P59" s="3">
        <v>13.45</v>
      </c>
      <c r="Q59" s="4">
        <v>0.3</v>
      </c>
      <c r="R59" s="2">
        <v>12150</v>
      </c>
      <c r="S59" s="2">
        <v>6220.7999999999993</v>
      </c>
      <c r="T59" s="2">
        <v>52500</v>
      </c>
      <c r="U59" s="2">
        <v>26880</v>
      </c>
      <c r="V59" s="2">
        <v>-5929.2000000000007</v>
      </c>
      <c r="W59" s="2">
        <v>-25620</v>
      </c>
      <c r="X59" s="2">
        <v>0</v>
      </c>
      <c r="Y59" s="2">
        <v>0</v>
      </c>
      <c r="Z59" t="s">
        <v>33</v>
      </c>
      <c r="AA59" t="s">
        <v>33</v>
      </c>
      <c r="AB59" s="2">
        <v>40350</v>
      </c>
    </row>
    <row r="60" spans="1:28" x14ac:dyDescent="0.25">
      <c r="A60" t="s">
        <v>161</v>
      </c>
      <c r="B60" s="1">
        <v>45772</v>
      </c>
      <c r="C60" s="1">
        <v>45820</v>
      </c>
      <c r="D60" t="s">
        <v>29</v>
      </c>
      <c r="E60" t="s">
        <v>203</v>
      </c>
      <c r="F60" t="s">
        <v>204</v>
      </c>
      <c r="G60" t="s">
        <v>205</v>
      </c>
      <c r="H60" t="s">
        <v>86</v>
      </c>
      <c r="I60" s="2">
        <v>2000</v>
      </c>
      <c r="J60" s="2">
        <v>1821</v>
      </c>
      <c r="K60" s="2">
        <v>1821</v>
      </c>
      <c r="L60" s="3">
        <v>97</v>
      </c>
      <c r="M60" s="3">
        <v>74</v>
      </c>
      <c r="N60" s="4">
        <v>0.31</v>
      </c>
      <c r="O60" s="3">
        <v>97</v>
      </c>
      <c r="P60" s="3">
        <v>74</v>
      </c>
      <c r="Q60" s="4">
        <v>0.31</v>
      </c>
      <c r="R60" s="2">
        <v>46000</v>
      </c>
      <c r="S60" s="2">
        <v>41883</v>
      </c>
      <c r="T60" s="2">
        <v>194000</v>
      </c>
      <c r="U60" s="2">
        <v>176637</v>
      </c>
      <c r="V60" s="2">
        <v>4117</v>
      </c>
      <c r="W60" s="2">
        <v>17363</v>
      </c>
      <c r="X60" s="2">
        <v>0</v>
      </c>
      <c r="Y60" s="2">
        <v>0</v>
      </c>
      <c r="Z60" t="s">
        <v>33</v>
      </c>
      <c r="AA60" t="s">
        <v>33</v>
      </c>
      <c r="AB60" s="2">
        <v>148000</v>
      </c>
    </row>
    <row r="61" spans="1:28" hidden="1" x14ac:dyDescent="0.25">
      <c r="R61" s="2">
        <f>SUM(R27:R45)</f>
        <v>383150</v>
      </c>
      <c r="S61" s="2">
        <f t="shared" ref="S61:Y61" si="0">SUM(S27:S45)</f>
        <v>357092.1</v>
      </c>
      <c r="T61" s="2">
        <f t="shared" si="0"/>
        <v>1344700</v>
      </c>
      <c r="U61" s="2">
        <f t="shared" si="0"/>
        <v>1278194.6000000001</v>
      </c>
      <c r="V61" s="2">
        <f t="shared" si="0"/>
        <v>-25901.9</v>
      </c>
      <c r="W61" s="2">
        <f t="shared" si="0"/>
        <v>-65605.399999999994</v>
      </c>
      <c r="X61" s="2">
        <f t="shared" si="0"/>
        <v>0</v>
      </c>
      <c r="Y61" s="2">
        <f t="shared" si="0"/>
        <v>0</v>
      </c>
    </row>
    <row r="62" spans="1:28" hidden="1" x14ac:dyDescent="0.25">
      <c r="R62" s="2">
        <f>SUM(R46:R60)</f>
        <v>323950</v>
      </c>
      <c r="S62" s="2">
        <f t="shared" ref="S62:Y62" si="1">SUM(S46:S60)</f>
        <v>308072.65000000002</v>
      </c>
      <c r="T62" s="2">
        <f t="shared" si="1"/>
        <v>971200</v>
      </c>
      <c r="U62" s="2">
        <f t="shared" si="1"/>
        <v>918692</v>
      </c>
      <c r="V62" s="2">
        <f t="shared" si="1"/>
        <v>-7643.3500000000022</v>
      </c>
      <c r="W62" s="2">
        <f t="shared" si="1"/>
        <v>-17782</v>
      </c>
      <c r="X62" s="2">
        <f t="shared" si="1"/>
        <v>0</v>
      </c>
      <c r="Y62" s="2">
        <f t="shared" si="1"/>
        <v>0</v>
      </c>
    </row>
    <row r="63" spans="1:28" x14ac:dyDescent="0.25">
      <c r="R63" s="2">
        <f>SUM(R46:R60)</f>
        <v>323950</v>
      </c>
      <c r="S63" s="2">
        <f t="shared" ref="S63:Y63" si="2">SUM(S46:S60)</f>
        <v>308072.65000000002</v>
      </c>
      <c r="T63" s="2">
        <f t="shared" si="2"/>
        <v>971200</v>
      </c>
      <c r="U63" s="2">
        <f t="shared" si="2"/>
        <v>918692</v>
      </c>
      <c r="V63" s="2">
        <f t="shared" si="2"/>
        <v>-7643.3500000000022</v>
      </c>
      <c r="W63" s="2">
        <f t="shared" si="2"/>
        <v>-17782</v>
      </c>
      <c r="X63" s="2">
        <f t="shared" si="2"/>
        <v>0</v>
      </c>
      <c r="Y63" s="2">
        <f t="shared" si="2"/>
        <v>0</v>
      </c>
    </row>
    <row r="64" spans="1:28" x14ac:dyDescent="0.25">
      <c r="R64" s="2">
        <v>1800</v>
      </c>
      <c r="S64" s="2">
        <v>1800</v>
      </c>
      <c r="T64" s="2">
        <v>3500</v>
      </c>
      <c r="U64" s="2">
        <v>3500</v>
      </c>
    </row>
    <row r="65" spans="18:25" x14ac:dyDescent="0.25">
      <c r="R65" s="2">
        <f t="shared" ref="R65:U65" si="3">SUM(R63:R64)</f>
        <v>325750</v>
      </c>
      <c r="S65" s="2">
        <f>SUM(S63:S64)</f>
        <v>309872.65000000002</v>
      </c>
      <c r="T65" s="2">
        <f t="shared" si="3"/>
        <v>974700</v>
      </c>
      <c r="U65" s="2">
        <f t="shared" si="3"/>
        <v>922192</v>
      </c>
      <c r="V65" s="2">
        <f t="shared" ref="V65" si="4">SUM(V63:V64)</f>
        <v>-7643.3500000000022</v>
      </c>
      <c r="W65" s="2">
        <f t="shared" ref="W65" si="5">SUM(W63:W64)</f>
        <v>-17782</v>
      </c>
      <c r="X65" s="2">
        <f t="shared" ref="X65" si="6">SUM(X63:X64)</f>
        <v>0</v>
      </c>
      <c r="Y65" s="2">
        <f t="shared" ref="Y65" si="7">SUM(Y63:Y64)</f>
        <v>0</v>
      </c>
    </row>
  </sheetData>
  <autoFilter ref="A1:AB62" xr:uid="{2E0B7944-5DF1-4245-8F71-EFA54D9A840F}">
    <filterColumn colId="0">
      <filters>
        <filter val="Apr 2025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Karanjeet Kaur</dc:creator>
  <cp:keywords/>
  <dc:description/>
  <cp:lastModifiedBy>Karanjeet Kaur</cp:lastModifiedBy>
  <dcterms:created xsi:type="dcterms:W3CDTF">2026-03-23T13:12:31Z</dcterms:created>
  <dcterms:modified xsi:type="dcterms:W3CDTF">2026-03-23T13:12:31Z</dcterms:modified>
  <cp:category/>
</cp:coreProperties>
</file>